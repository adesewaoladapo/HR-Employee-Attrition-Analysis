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417CAD487EB57263/Documents/"/>
    </mc:Choice>
  </mc:AlternateContent>
  <xr:revisionPtr revIDLastSave="404" documentId="8_{F55C5972-470F-49E0-B751-B6F9690AFC91}" xr6:coauthVersionLast="47" xr6:coauthVersionMax="47" xr10:uidLastSave="{D78821D0-CFBB-497F-9188-6BEFD1CD9D67}"/>
  <bookViews>
    <workbookView xWindow="-110" yWindow="-110" windowWidth="22620" windowHeight="13500" activeTab="1" xr2:uid="{A9A0427D-7D39-403F-955F-E964208F7780}"/>
  </bookViews>
  <sheets>
    <sheet name="Pivot Tables" sheetId="2" r:id="rId1"/>
    <sheet name="Dashboard" sheetId="3" r:id="rId2"/>
    <sheet name="WA_Fn-UseC_-HR-Employee-Attriti" sheetId="1" r:id="rId3"/>
  </sheets>
  <definedNames>
    <definedName name="Slicer_Department">#N/A</definedName>
    <definedName name="Slicer_JobRole">#N/A</definedName>
    <definedName name="Slicer_JobSatisfaction">#N/A</definedName>
    <definedName name="Slicer_OverTime">#N/A</definedName>
  </definedNames>
  <calcPr calcId="191029"/>
  <pivotCaches>
    <pivotCache cacheId="19"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3" l="1"/>
  <c r="M4" i="3"/>
  <c r="E4" i="3"/>
  <c r="I4" i="3" s="1"/>
  <c r="A4" i="3"/>
  <c r="E6" i="2"/>
  <c r="E5" i="2"/>
  <c r="E7" i="2"/>
</calcChain>
</file>

<file path=xl/sharedStrings.xml><?xml version="1.0" encoding="utf-8"?>
<sst xmlns="http://schemas.openxmlformats.org/spreadsheetml/2006/main" count="13347" uniqueCount="89">
  <si>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</si>
  <si>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</si>
  <si>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</si>
  <si>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</si>
  <si>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</si>
  <si>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</si>
  <si>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</si>
  <si>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</si>
  <si>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</si>
  <si>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</si>
  <si>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</si>
  <si>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</si>
  <si>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</si>
  <si>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</si>
  <si>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</si>
  <si>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</si>
  <si>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</si>
  <si>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</si>
  <si>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</si>
  <si>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</si>
  <si>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</si>
  <si>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</si>
  <si>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</si>
  <si>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</si>
  <si>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</si>
  <si>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</si>
  <si>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</si>
  <si>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</si>
  <si>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</si>
  <si>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</si>
  <si>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</si>
  <si>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</si>
  <si>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</si>
  <si>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</si>
  <si>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</si>
  <si>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</si>
  <si>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</si>
  <si>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</si>
  <si>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</si>
  <si>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</si>
  <si>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</si>
  <si>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</si>
  <si>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</si>
  <si>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</si>
  <si>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</si>
  <si>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</si>
  <si>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</si>
  <si>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</si>
  <si>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</si>
  <si>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</si>
  <si>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</si>
  <si>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</si>
  <si>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</si>
  <si>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</si>
  <si>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</si>
  <si>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</si>
  <si>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</si>
  <si>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</si>
  <si>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</si>
  <si>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</si>
  <si>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</si>
  <si>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</si>
  <si>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Grand Total</t>
  </si>
  <si>
    <t>Sum of EmployeeCount</t>
  </si>
  <si>
    <t>Column Labels</t>
  </si>
  <si>
    <t>Average of MonthlyIncome</t>
  </si>
  <si>
    <t>Job Satisfaction</t>
  </si>
  <si>
    <t>Environment Satisfaction</t>
  </si>
  <si>
    <t>Work Life Balance</t>
  </si>
  <si>
    <t>Stayed</t>
  </si>
  <si>
    <t>Quit</t>
  </si>
  <si>
    <t>Attrition %</t>
  </si>
  <si>
    <t>Job Role</t>
  </si>
  <si>
    <t>Years at Company</t>
  </si>
  <si>
    <t>No Overtime</t>
  </si>
  <si>
    <t>Overtime</t>
  </si>
  <si>
    <t>HR ATTRITION EXECUTIVE DASHBOARD</t>
  </si>
  <si>
    <t>Workforce health, retention risk and employee experience overview</t>
  </si>
  <si>
    <t>TOTAL EMPLOYEES</t>
  </si>
  <si>
    <t>Current workforce</t>
  </si>
  <si>
    <t>EMPLOYEES WHO QUIT</t>
  </si>
  <si>
    <t>Recorded attrition</t>
  </si>
  <si>
    <t>ATTRITION RATE</t>
  </si>
  <si>
    <t>Quit ÷ total employees</t>
  </si>
  <si>
    <t>AVG MONTHLY INCOME</t>
  </si>
  <si>
    <t>Across all employees</t>
  </si>
  <si>
    <t>AVG TENURE</t>
  </si>
  <si>
    <t>Years at company</t>
  </si>
  <si>
    <t>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</si>
</sst>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
    <numFmt numFmtId="166" formatCode="\£#,##0"/>
    <numFmt numFmtId="167" formatCode="0.0\ &quot;yrs&quot;"/>
  </numFmts>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243447"/>
      <name val="Aptos"/>
      <family val="2"/>
    </font>
    <font>
      <b/>
      <sz val="20"/>
      <color rgb="FFFFFFFF"/>
      <name val="Aptos"/>
      <family val="2"/>
    </font>
    <font>
      <i/>
      <sz val="10"/>
      <color rgb="FF52677D"/>
      <name val="Aptos"/>
      <family val="2"/>
    </font>
    <font>
      <b/>
      <sz val="9"/>
      <color rgb="FF637587"/>
      <name val="Aptos"/>
      <family val="2"/>
    </font>
    <font>
      <b/>
      <sz val="22"/>
      <color rgb="FF2F75B5"/>
      <name val="Aptos"/>
      <family val="2"/>
    </font>
    <font>
      <sz val="8"/>
      <color rgb="FF7C8C9C"/>
      <name val="Aptos"/>
      <family val="2"/>
    </font>
    <font>
      <b/>
      <sz val="22"/>
      <color rgb="FFC65D4B"/>
      <name val="Aptos"/>
      <family val="2"/>
    </font>
    <font>
      <b/>
      <sz val="22"/>
      <color rgb="FF3A8D8A"/>
      <name val="Aptos"/>
      <family val="2"/>
    </font>
    <font>
      <b/>
      <sz val="22"/>
      <color rgb="FF7A6F9B"/>
      <name val="Aptos"/>
      <family val="2"/>
    </font>
    <font>
      <b/>
      <sz val="10"/>
      <color rgb="FF17324D"/>
      <name val="Aptos"/>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4F7FA"/>
        <bgColor indexed="64"/>
      </patternFill>
    </fill>
    <fill>
      <patternFill patternType="solid">
        <fgColor rgb="FF17324D"/>
        <bgColor indexed="64"/>
      </patternFill>
    </fill>
    <fill>
      <patternFill patternType="solid">
        <fgColor rgb="FFE8EFF5"/>
        <bgColor indexed="64"/>
      </patternFill>
    </fill>
    <fill>
      <patternFill patternType="solid">
        <fgColor rgb="FFFFFFFF"/>
        <bgColor indexed="64"/>
      </patternFill>
    </fill>
    <fill>
      <patternFill patternType="solid">
        <fgColor rgb="FFDDE7EF"/>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bottom style="thick">
        <color rgb="FF2F75B5"/>
      </bottom>
      <diagonal/>
    </border>
    <border>
      <left/>
      <right/>
      <top/>
      <bottom style="thick">
        <color rgb="FFC65D4B"/>
      </bottom>
      <diagonal/>
    </border>
    <border>
      <left/>
      <right/>
      <top/>
      <bottom style="thick">
        <color rgb="FF3A8D8A"/>
      </bottom>
      <diagonal/>
    </border>
    <border>
      <left/>
      <right/>
      <top/>
      <bottom style="thick">
        <color rgb="FF7A6F9B"/>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10" fontId="0" fillId="0" borderId="0" xfId="0" applyNumberFormat="1"/>
    <xf numFmtId="10" fontId="0" fillId="0" borderId="0" xfId="1" applyNumberFormat="1" applyFont="1"/>
    <xf numFmtId="164" fontId="0" fillId="0" borderId="0" xfId="0" applyNumberFormat="1"/>
    <xf numFmtId="10" fontId="16" fillId="33" borderId="10" xfId="0" applyNumberFormat="1" applyFont="1" applyFill="1" applyBorder="1"/>
    <xf numFmtId="0" fontId="18" fillId="34" borderId="0" xfId="0" applyFont="1" applyFill="1"/>
    <xf numFmtId="0" fontId="19" fillId="35" borderId="0" xfId="0" applyFont="1" applyFill="1" applyAlignment="1">
      <alignment horizontal="left" vertical="center"/>
    </xf>
    <xf numFmtId="0" fontId="20" fillId="36" borderId="0" xfId="0" applyFont="1" applyFill="1"/>
    <xf numFmtId="0" fontId="23" fillId="37" borderId="11" xfId="0" applyFont="1" applyFill="1" applyBorder="1" applyAlignment="1">
      <alignment horizontal="center" vertical="center"/>
    </xf>
    <xf numFmtId="3" fontId="22" fillId="37" borderId="0" xfId="0" applyNumberFormat="1" applyFont="1" applyFill="1" applyBorder="1" applyAlignment="1">
      <alignment horizontal="center" vertical="center"/>
    </xf>
    <xf numFmtId="0" fontId="21" fillId="37" borderId="0" xfId="0" applyFont="1" applyFill="1" applyBorder="1" applyAlignment="1">
      <alignment horizontal="center" vertical="center"/>
    </xf>
    <xf numFmtId="0" fontId="23" fillId="37" borderId="12" xfId="0" applyFont="1" applyFill="1" applyBorder="1" applyAlignment="1">
      <alignment horizontal="center" vertical="center"/>
    </xf>
    <xf numFmtId="3" fontId="24" fillId="37" borderId="0" xfId="0" applyNumberFormat="1" applyFont="1" applyFill="1" applyBorder="1" applyAlignment="1">
      <alignment horizontal="center" vertical="center"/>
    </xf>
    <xf numFmtId="165" fontId="24" fillId="37" borderId="0" xfId="0" applyNumberFormat="1" applyFont="1" applyFill="1" applyBorder="1" applyAlignment="1">
      <alignment horizontal="center" vertical="center"/>
    </xf>
    <xf numFmtId="0" fontId="23" fillId="37" borderId="13" xfId="0" applyFont="1" applyFill="1" applyBorder="1" applyAlignment="1">
      <alignment horizontal="center" vertical="center"/>
    </xf>
    <xf numFmtId="166" fontId="25" fillId="37" borderId="0" xfId="0" applyNumberFormat="1" applyFont="1" applyFill="1" applyBorder="1" applyAlignment="1">
      <alignment horizontal="center" vertical="center"/>
    </xf>
    <xf numFmtId="0" fontId="23" fillId="37" borderId="14" xfId="0" applyFont="1" applyFill="1" applyBorder="1" applyAlignment="1">
      <alignment horizontal="center" vertical="center"/>
    </xf>
    <xf numFmtId="167" fontId="26" fillId="37" borderId="0" xfId="0" applyNumberFormat="1" applyFont="1" applyFill="1" applyBorder="1" applyAlignment="1">
      <alignment horizontal="center" vertical="center"/>
    </xf>
    <xf numFmtId="0" fontId="27" fillId="38" borderId="0" xfId="0" applyFont="1"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 by Department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Stayed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Tables'!$A$5:$A$8</c:f>
              <c:strCache>
                <c:ptCount val="3"/>
                <c:pt idx="0">
                  <c:v>Human Resources</c:v>
                </c:pt>
                <c:pt idx="1">
                  <c:v>Research &amp; Development</c:v>
                </c:pt>
                <c:pt idx="2">
                  <c:v>Sales</c:v>
                </c:pt>
              </c:strCache>
            </c:strRef>
          </c:cat>
          <c:val>
            <c:numRef>
              <c:f>'Pivot Tables'!$B$5:$B$8</c:f>
              <c:numCache>
                <c:formatCode>General</c:formatCode>
                <c:ptCount val="3"/>
                <c:pt idx="0">
                  <c:v>51</c:v>
                </c:pt>
                <c:pt idx="1">
                  <c:v>828</c:v>
                </c:pt>
                <c:pt idx="2">
                  <c:v>354</c:v>
                </c:pt>
              </c:numCache>
            </c:numRef>
          </c:val>
          <c:extLst>
            <c:ext xmlns:c16="http://schemas.microsoft.com/office/drawing/2014/chart" uri="{C3380CC4-5D6E-409C-BE32-E72D297353CC}">
              <c16:uniqueId val="{00000000-554B-4DE4-849C-F5F8C69176CD}"/>
            </c:ext>
          </c:extLst>
        </c:ser>
        <c:ser>
          <c:idx val="1"/>
          <c:order val="1"/>
          <c:tx>
            <c:strRef>
              <c:f>'Pivot Tables'!$C$3:$C$4</c:f>
              <c:strCache>
                <c:ptCount val="1"/>
                <c:pt idx="0">
                  <c:v>Quit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Tables'!$A$5:$A$8</c:f>
              <c:strCache>
                <c:ptCount val="3"/>
                <c:pt idx="0">
                  <c:v>Human Resources</c:v>
                </c:pt>
                <c:pt idx="1">
                  <c:v>Research &amp; Development</c:v>
                </c:pt>
                <c:pt idx="2">
                  <c:v>Sales</c:v>
                </c:pt>
              </c:strCache>
            </c:strRef>
          </c:cat>
          <c:val>
            <c:numRef>
              <c:f>'Pivot Tables'!$C$5:$C$8</c:f>
              <c:numCache>
                <c:formatCode>General</c:formatCode>
                <c:ptCount val="3"/>
                <c:pt idx="0">
                  <c:v>12</c:v>
                </c:pt>
                <c:pt idx="1">
                  <c:v>133</c:v>
                </c:pt>
                <c:pt idx="2">
                  <c:v>92</c:v>
                </c:pt>
              </c:numCache>
            </c:numRef>
          </c:val>
          <c:extLst>
            <c:ext xmlns:c16="http://schemas.microsoft.com/office/drawing/2014/chart" uri="{C3380CC4-5D6E-409C-BE32-E72D297353CC}">
              <c16:uniqueId val="{00000001-554B-4DE4-849C-F5F8C69176CD}"/>
            </c:ext>
          </c:extLst>
        </c:ser>
        <c:dLbls>
          <c:dLblPos val="outEnd"/>
          <c:showLegendKey val="0"/>
          <c:showVal val="1"/>
          <c:showCatName val="0"/>
          <c:showSerName val="0"/>
          <c:showPercent val="0"/>
          <c:showBubbleSize val="0"/>
        </c:dLbls>
        <c:gapWidth val="219"/>
        <c:overlap val="-27"/>
        <c:axId val="483070959"/>
        <c:axId val="1269561743"/>
      </c:barChart>
      <c:catAx>
        <c:axId val="483070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561743"/>
        <c:crosses val="autoZero"/>
        <c:auto val="1"/>
        <c:lblAlgn val="ctr"/>
        <c:lblOffset val="100"/>
        <c:noMultiLvlLbl val="0"/>
      </c:catAx>
      <c:valAx>
        <c:axId val="1269561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070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Compensation vs. Attrition: Average Monthly Income by Job Role</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Tables'!$B$11:$B$12</c:f>
              <c:strCache>
                <c:ptCount val="1"/>
                <c:pt idx="0">
                  <c:v>Stayed</c:v>
                </c:pt>
              </c:strCache>
            </c:strRef>
          </c:tx>
          <c:spPr>
            <a:solidFill>
              <a:schemeClr val="accent1"/>
            </a:solidFill>
            <a:ln>
              <a:noFill/>
            </a:ln>
            <a:effectLst/>
          </c:spPr>
          <c:invertIfNegative val="0"/>
          <c:cat>
            <c:strRef>
              <c:f>'Pivot Tables'!$A$13:$A$22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Tables'!$B$13:$B$22</c:f>
              <c:numCache>
                <c:formatCode>"£"#,##0.00</c:formatCode>
                <c:ptCount val="9"/>
                <c:pt idx="0">
                  <c:v>7453.5573770491801</c:v>
                </c:pt>
                <c:pt idx="1">
                  <c:v>4391.75</c:v>
                </c:pt>
                <c:pt idx="2">
                  <c:v>3337.223350253807</c:v>
                </c:pt>
                <c:pt idx="3">
                  <c:v>17201.484536082473</c:v>
                </c:pt>
                <c:pt idx="4">
                  <c:v>7289.9259259259261</c:v>
                </c:pt>
                <c:pt idx="5">
                  <c:v>15947.346153846154</c:v>
                </c:pt>
                <c:pt idx="6">
                  <c:v>3328.1224489795918</c:v>
                </c:pt>
                <c:pt idx="7">
                  <c:v>6804.6171003717473</c:v>
                </c:pt>
                <c:pt idx="8">
                  <c:v>2798.44</c:v>
                </c:pt>
              </c:numCache>
            </c:numRef>
          </c:val>
          <c:extLst>
            <c:ext xmlns:c16="http://schemas.microsoft.com/office/drawing/2014/chart" uri="{C3380CC4-5D6E-409C-BE32-E72D297353CC}">
              <c16:uniqueId val="{00000000-807A-450C-A8C8-4747BEF20467}"/>
            </c:ext>
          </c:extLst>
        </c:ser>
        <c:ser>
          <c:idx val="1"/>
          <c:order val="1"/>
          <c:tx>
            <c:strRef>
              <c:f>'Pivot Tables'!$C$11:$C$12</c:f>
              <c:strCache>
                <c:ptCount val="1"/>
                <c:pt idx="0">
                  <c:v>Quit</c:v>
                </c:pt>
              </c:strCache>
            </c:strRef>
          </c:tx>
          <c:spPr>
            <a:solidFill>
              <a:schemeClr val="accent2"/>
            </a:solidFill>
            <a:ln>
              <a:noFill/>
            </a:ln>
            <a:effectLst/>
          </c:spPr>
          <c:invertIfNegative val="0"/>
          <c:cat>
            <c:strRef>
              <c:f>'Pivot Tables'!$A$13:$A$22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Tables'!$C$13:$C$22</c:f>
              <c:numCache>
                <c:formatCode>"£"#,##0.00</c:formatCode>
                <c:ptCount val="9"/>
                <c:pt idx="0">
                  <c:v>8548.2222222222226</c:v>
                </c:pt>
                <c:pt idx="1">
                  <c:v>3715.75</c:v>
                </c:pt>
                <c:pt idx="2">
                  <c:v>2919.2580645161293</c:v>
                </c:pt>
                <c:pt idx="3">
                  <c:v>16797.400000000001</c:v>
                </c:pt>
                <c:pt idx="4">
                  <c:v>7365.5</c:v>
                </c:pt>
                <c:pt idx="5">
                  <c:v>19395.5</c:v>
                </c:pt>
                <c:pt idx="6">
                  <c:v>2780.4680851063831</c:v>
                </c:pt>
                <c:pt idx="7">
                  <c:v>7489</c:v>
                </c:pt>
                <c:pt idx="8">
                  <c:v>2364.7272727272725</c:v>
                </c:pt>
              </c:numCache>
            </c:numRef>
          </c:val>
          <c:extLst>
            <c:ext xmlns:c16="http://schemas.microsoft.com/office/drawing/2014/chart" uri="{C3380CC4-5D6E-409C-BE32-E72D297353CC}">
              <c16:uniqueId val="{00000001-807A-450C-A8C8-4747BEF20467}"/>
            </c:ext>
          </c:extLst>
        </c:ser>
        <c:dLbls>
          <c:showLegendKey val="0"/>
          <c:showVal val="0"/>
          <c:showCatName val="0"/>
          <c:showSerName val="0"/>
          <c:showPercent val="0"/>
          <c:showBubbleSize val="0"/>
        </c:dLbls>
        <c:gapWidth val="182"/>
        <c:axId val="1277593119"/>
        <c:axId val="1269520463"/>
      </c:barChart>
      <c:catAx>
        <c:axId val="127759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520463"/>
        <c:crosses val="autoZero"/>
        <c:auto val="1"/>
        <c:lblAlgn val="ctr"/>
        <c:lblOffset val="100"/>
        <c:noMultiLvlLbl val="0"/>
      </c:catAx>
      <c:valAx>
        <c:axId val="12695204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9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Employee Resignations by Years at Company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Tables'!$B$25:$B$26</c:f>
              <c:strCache>
                <c:ptCount val="1"/>
                <c:pt idx="0">
                  <c:v>Stayed</c:v>
                </c:pt>
              </c:strCache>
            </c:strRef>
          </c:tx>
          <c:spPr>
            <a:solidFill>
              <a:schemeClr val="accent1"/>
            </a:solidFill>
            <a:ln>
              <a:noFill/>
            </a:ln>
            <a:effectLst/>
          </c:spPr>
          <c:invertIfNegative val="0"/>
          <c:cat>
            <c:strRef>
              <c:f>'Pivot Tables'!$A$27:$A$64</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 Tables'!$B$27:$B$64</c:f>
              <c:numCache>
                <c:formatCode>General</c:formatCode>
                <c:ptCount val="37"/>
                <c:pt idx="0">
                  <c:v>28</c:v>
                </c:pt>
                <c:pt idx="1">
                  <c:v>112</c:v>
                </c:pt>
                <c:pt idx="2">
                  <c:v>100</c:v>
                </c:pt>
                <c:pt idx="3">
                  <c:v>108</c:v>
                </c:pt>
                <c:pt idx="4">
                  <c:v>91</c:v>
                </c:pt>
                <c:pt idx="5">
                  <c:v>175</c:v>
                </c:pt>
                <c:pt idx="6">
                  <c:v>67</c:v>
                </c:pt>
                <c:pt idx="7">
                  <c:v>79</c:v>
                </c:pt>
                <c:pt idx="8">
                  <c:v>71</c:v>
                </c:pt>
                <c:pt idx="9">
                  <c:v>74</c:v>
                </c:pt>
                <c:pt idx="10">
                  <c:v>102</c:v>
                </c:pt>
                <c:pt idx="11">
                  <c:v>30</c:v>
                </c:pt>
                <c:pt idx="12">
                  <c:v>14</c:v>
                </c:pt>
                <c:pt idx="13">
                  <c:v>22</c:v>
                </c:pt>
                <c:pt idx="14">
                  <c:v>16</c:v>
                </c:pt>
                <c:pt idx="15">
                  <c:v>19</c:v>
                </c:pt>
                <c:pt idx="16">
                  <c:v>11</c:v>
                </c:pt>
                <c:pt idx="17">
                  <c:v>8</c:v>
                </c:pt>
                <c:pt idx="18">
                  <c:v>12</c:v>
                </c:pt>
                <c:pt idx="19">
                  <c:v>10</c:v>
                </c:pt>
                <c:pt idx="20">
                  <c:v>26</c:v>
                </c:pt>
                <c:pt idx="21">
                  <c:v>13</c:v>
                </c:pt>
                <c:pt idx="22">
                  <c:v>14</c:v>
                </c:pt>
                <c:pt idx="23">
                  <c:v>1</c:v>
                </c:pt>
                <c:pt idx="24">
                  <c:v>5</c:v>
                </c:pt>
                <c:pt idx="25">
                  <c:v>4</c:v>
                </c:pt>
                <c:pt idx="26">
                  <c:v>4</c:v>
                </c:pt>
                <c:pt idx="27">
                  <c:v>2</c:v>
                </c:pt>
                <c:pt idx="28">
                  <c:v>2</c:v>
                </c:pt>
                <c:pt idx="29">
                  <c:v>1</c:v>
                </c:pt>
                <c:pt idx="30">
                  <c:v>2</c:v>
                </c:pt>
                <c:pt idx="31">
                  <c:v>2</c:v>
                </c:pt>
                <c:pt idx="32">
                  <c:v>4</c:v>
                </c:pt>
                <c:pt idx="33">
                  <c:v>1</c:v>
                </c:pt>
                <c:pt idx="34">
                  <c:v>2</c:v>
                </c:pt>
                <c:pt idx="35">
                  <c:v>1</c:v>
                </c:pt>
              </c:numCache>
            </c:numRef>
          </c:val>
          <c:extLst>
            <c:ext xmlns:c16="http://schemas.microsoft.com/office/drawing/2014/chart" uri="{C3380CC4-5D6E-409C-BE32-E72D297353CC}">
              <c16:uniqueId val="{00000000-F9C7-492A-9B50-8EDB2F23B03D}"/>
            </c:ext>
          </c:extLst>
        </c:ser>
        <c:ser>
          <c:idx val="1"/>
          <c:order val="1"/>
          <c:tx>
            <c:strRef>
              <c:f>'Pivot Tables'!$C$25:$C$26</c:f>
              <c:strCache>
                <c:ptCount val="1"/>
                <c:pt idx="0">
                  <c:v>Quit</c:v>
                </c:pt>
              </c:strCache>
            </c:strRef>
          </c:tx>
          <c:spPr>
            <a:solidFill>
              <a:schemeClr val="accent2"/>
            </a:solidFill>
            <a:ln>
              <a:noFill/>
            </a:ln>
            <a:effectLst/>
          </c:spPr>
          <c:invertIfNegative val="0"/>
          <c:cat>
            <c:strRef>
              <c:f>'Pivot Tables'!$A$27:$A$64</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 Tables'!$C$27:$C$64</c:f>
              <c:numCache>
                <c:formatCode>General</c:formatCode>
                <c:ptCount val="37"/>
                <c:pt idx="0">
                  <c:v>16</c:v>
                </c:pt>
                <c:pt idx="1">
                  <c:v>59</c:v>
                </c:pt>
                <c:pt idx="2">
                  <c:v>27</c:v>
                </c:pt>
                <c:pt idx="3">
                  <c:v>20</c:v>
                </c:pt>
                <c:pt idx="4">
                  <c:v>19</c:v>
                </c:pt>
                <c:pt idx="5">
                  <c:v>21</c:v>
                </c:pt>
                <c:pt idx="6">
                  <c:v>9</c:v>
                </c:pt>
                <c:pt idx="7">
                  <c:v>11</c:v>
                </c:pt>
                <c:pt idx="8">
                  <c:v>9</c:v>
                </c:pt>
                <c:pt idx="9">
                  <c:v>8</c:v>
                </c:pt>
                <c:pt idx="10">
                  <c:v>18</c:v>
                </c:pt>
                <c:pt idx="11">
                  <c:v>2</c:v>
                </c:pt>
                <c:pt idx="13">
                  <c:v>2</c:v>
                </c:pt>
                <c:pt idx="14">
                  <c:v>2</c:v>
                </c:pt>
                <c:pt idx="15">
                  <c:v>1</c:v>
                </c:pt>
                <c:pt idx="16">
                  <c:v>1</c:v>
                </c:pt>
                <c:pt idx="17">
                  <c:v>1</c:v>
                </c:pt>
                <c:pt idx="18">
                  <c:v>1</c:v>
                </c:pt>
                <c:pt idx="19">
                  <c:v>1</c:v>
                </c:pt>
                <c:pt idx="20">
                  <c:v>1</c:v>
                </c:pt>
                <c:pt idx="21">
                  <c:v>1</c:v>
                </c:pt>
                <c:pt idx="22">
                  <c:v>1</c:v>
                </c:pt>
                <c:pt idx="23">
                  <c:v>1</c:v>
                </c:pt>
                <c:pt idx="24">
                  <c:v>1</c:v>
                </c:pt>
                <c:pt idx="30">
                  <c:v>1</c:v>
                </c:pt>
                <c:pt idx="31">
                  <c:v>1</c:v>
                </c:pt>
                <c:pt idx="32">
                  <c:v>1</c:v>
                </c:pt>
                <c:pt idx="36">
                  <c:v>1</c:v>
                </c:pt>
              </c:numCache>
            </c:numRef>
          </c:val>
          <c:extLst>
            <c:ext xmlns:c16="http://schemas.microsoft.com/office/drawing/2014/chart" uri="{C3380CC4-5D6E-409C-BE32-E72D297353CC}">
              <c16:uniqueId val="{00000001-F9C7-492A-9B50-8EDB2F23B03D}"/>
            </c:ext>
          </c:extLst>
        </c:ser>
        <c:dLbls>
          <c:showLegendKey val="0"/>
          <c:showVal val="0"/>
          <c:showCatName val="0"/>
          <c:showSerName val="0"/>
          <c:showPercent val="0"/>
          <c:showBubbleSize val="0"/>
        </c:dLbls>
        <c:gapWidth val="219"/>
        <c:overlap val="-27"/>
        <c:axId val="1289461727"/>
        <c:axId val="1269559343"/>
      </c:barChart>
      <c:catAx>
        <c:axId val="1289461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Years at Company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559343"/>
        <c:crosses val="autoZero"/>
        <c:auto val="1"/>
        <c:lblAlgn val="ctr"/>
        <c:lblOffset val="100"/>
        <c:noMultiLvlLbl val="0"/>
      </c:catAx>
      <c:valAx>
        <c:axId val="12695593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46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Impact of Job Satisfaction on Employee Retention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Tables'!$H$3:$H$4</c:f>
              <c:strCache>
                <c:ptCount val="1"/>
                <c:pt idx="0">
                  <c:v>Stayed</c:v>
                </c:pt>
              </c:strCache>
            </c:strRef>
          </c:tx>
          <c:spPr>
            <a:solidFill>
              <a:schemeClr val="accent1"/>
            </a:solidFill>
            <a:ln>
              <a:noFill/>
            </a:ln>
            <a:effectLst/>
          </c:spPr>
          <c:invertIfNegative val="0"/>
          <c:cat>
            <c:strRef>
              <c:f>'Pivot Tables'!$G$5:$G$9</c:f>
              <c:strCache>
                <c:ptCount val="4"/>
                <c:pt idx="0">
                  <c:v>1</c:v>
                </c:pt>
                <c:pt idx="1">
                  <c:v>2</c:v>
                </c:pt>
                <c:pt idx="2">
                  <c:v>3</c:v>
                </c:pt>
                <c:pt idx="3">
                  <c:v>4</c:v>
                </c:pt>
              </c:strCache>
            </c:strRef>
          </c:cat>
          <c:val>
            <c:numRef>
              <c:f>'Pivot Tables'!$H$5:$H$9</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F366-48A0-9F5A-EC02A27AE8B0}"/>
            </c:ext>
          </c:extLst>
        </c:ser>
        <c:ser>
          <c:idx val="1"/>
          <c:order val="1"/>
          <c:tx>
            <c:strRef>
              <c:f>'Pivot Tables'!$I$3:$I$4</c:f>
              <c:strCache>
                <c:ptCount val="1"/>
                <c:pt idx="0">
                  <c:v>Quit</c:v>
                </c:pt>
              </c:strCache>
            </c:strRef>
          </c:tx>
          <c:spPr>
            <a:solidFill>
              <a:schemeClr val="accent2"/>
            </a:solidFill>
            <a:ln>
              <a:noFill/>
            </a:ln>
            <a:effectLst/>
          </c:spPr>
          <c:invertIfNegative val="0"/>
          <c:cat>
            <c:strRef>
              <c:f>'Pivot Tables'!$G$5:$G$9</c:f>
              <c:strCache>
                <c:ptCount val="4"/>
                <c:pt idx="0">
                  <c:v>1</c:v>
                </c:pt>
                <c:pt idx="1">
                  <c:v>2</c:v>
                </c:pt>
                <c:pt idx="2">
                  <c:v>3</c:v>
                </c:pt>
                <c:pt idx="3">
                  <c:v>4</c:v>
                </c:pt>
              </c:strCache>
            </c:strRef>
          </c:cat>
          <c:val>
            <c:numRef>
              <c:f>'Pivot Tables'!$I$5:$I$9</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1-F366-48A0-9F5A-EC02A27AE8B0}"/>
            </c:ext>
          </c:extLst>
        </c:ser>
        <c:dLbls>
          <c:showLegendKey val="0"/>
          <c:showVal val="0"/>
          <c:showCatName val="0"/>
          <c:showSerName val="0"/>
          <c:showPercent val="0"/>
          <c:showBubbleSize val="0"/>
        </c:dLbls>
        <c:gapWidth val="219"/>
        <c:overlap val="-27"/>
        <c:axId val="1451781936"/>
        <c:axId val="1269609263"/>
      </c:barChart>
      <c:catAx>
        <c:axId val="145178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09263"/>
        <c:crosses val="autoZero"/>
        <c:auto val="1"/>
        <c:lblAlgn val="ctr"/>
        <c:lblOffset val="100"/>
        <c:noMultiLvlLbl val="0"/>
      </c:catAx>
      <c:valAx>
        <c:axId val="126960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81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Workplace Environment Satisfaction vs. Turnover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Tables'!$H$11:$H$12</c:f>
              <c:strCache>
                <c:ptCount val="1"/>
                <c:pt idx="0">
                  <c:v>Stayed</c:v>
                </c:pt>
              </c:strCache>
            </c:strRef>
          </c:tx>
          <c:spPr>
            <a:solidFill>
              <a:schemeClr val="accent1"/>
            </a:solidFill>
            <a:ln>
              <a:noFill/>
            </a:ln>
            <a:effectLst/>
          </c:spPr>
          <c:invertIfNegative val="0"/>
          <c:cat>
            <c:strRef>
              <c:f>'Pivot Tables'!$G$13:$G$17</c:f>
              <c:strCache>
                <c:ptCount val="4"/>
                <c:pt idx="0">
                  <c:v>1</c:v>
                </c:pt>
                <c:pt idx="1">
                  <c:v>2</c:v>
                </c:pt>
                <c:pt idx="2">
                  <c:v>3</c:v>
                </c:pt>
                <c:pt idx="3">
                  <c:v>4</c:v>
                </c:pt>
              </c:strCache>
            </c:strRef>
          </c:cat>
          <c:val>
            <c:numRef>
              <c:f>'Pivot Tables'!$H$13:$H$17</c:f>
              <c:numCache>
                <c:formatCode>General</c:formatCode>
                <c:ptCount val="4"/>
                <c:pt idx="0">
                  <c:v>212</c:v>
                </c:pt>
                <c:pt idx="1">
                  <c:v>244</c:v>
                </c:pt>
                <c:pt idx="2">
                  <c:v>391</c:v>
                </c:pt>
                <c:pt idx="3">
                  <c:v>386</c:v>
                </c:pt>
              </c:numCache>
            </c:numRef>
          </c:val>
          <c:extLst>
            <c:ext xmlns:c16="http://schemas.microsoft.com/office/drawing/2014/chart" uri="{C3380CC4-5D6E-409C-BE32-E72D297353CC}">
              <c16:uniqueId val="{00000000-63FF-4658-949E-73C2C13DEADC}"/>
            </c:ext>
          </c:extLst>
        </c:ser>
        <c:ser>
          <c:idx val="1"/>
          <c:order val="1"/>
          <c:tx>
            <c:strRef>
              <c:f>'Pivot Tables'!$I$11:$I$12</c:f>
              <c:strCache>
                <c:ptCount val="1"/>
                <c:pt idx="0">
                  <c:v>Quit</c:v>
                </c:pt>
              </c:strCache>
            </c:strRef>
          </c:tx>
          <c:spPr>
            <a:solidFill>
              <a:schemeClr val="accent2"/>
            </a:solidFill>
            <a:ln>
              <a:noFill/>
            </a:ln>
            <a:effectLst/>
          </c:spPr>
          <c:invertIfNegative val="0"/>
          <c:cat>
            <c:strRef>
              <c:f>'Pivot Tables'!$G$13:$G$17</c:f>
              <c:strCache>
                <c:ptCount val="4"/>
                <c:pt idx="0">
                  <c:v>1</c:v>
                </c:pt>
                <c:pt idx="1">
                  <c:v>2</c:v>
                </c:pt>
                <c:pt idx="2">
                  <c:v>3</c:v>
                </c:pt>
                <c:pt idx="3">
                  <c:v>4</c:v>
                </c:pt>
              </c:strCache>
            </c:strRef>
          </c:cat>
          <c:val>
            <c:numRef>
              <c:f>'Pivot Tables'!$I$13:$I$17</c:f>
              <c:numCache>
                <c:formatCode>General</c:formatCode>
                <c:ptCount val="4"/>
                <c:pt idx="0">
                  <c:v>72</c:v>
                </c:pt>
                <c:pt idx="1">
                  <c:v>43</c:v>
                </c:pt>
                <c:pt idx="2">
                  <c:v>62</c:v>
                </c:pt>
                <c:pt idx="3">
                  <c:v>60</c:v>
                </c:pt>
              </c:numCache>
            </c:numRef>
          </c:val>
          <c:extLst>
            <c:ext xmlns:c16="http://schemas.microsoft.com/office/drawing/2014/chart" uri="{C3380CC4-5D6E-409C-BE32-E72D297353CC}">
              <c16:uniqueId val="{00000001-63FF-4658-949E-73C2C13DEADC}"/>
            </c:ext>
          </c:extLst>
        </c:ser>
        <c:dLbls>
          <c:showLegendKey val="0"/>
          <c:showVal val="0"/>
          <c:showCatName val="0"/>
          <c:showSerName val="0"/>
          <c:showPercent val="0"/>
          <c:showBubbleSize val="0"/>
        </c:dLbls>
        <c:gapWidth val="219"/>
        <c:overlap val="-27"/>
        <c:axId val="1451732752"/>
        <c:axId val="1269554063"/>
      </c:barChart>
      <c:catAx>
        <c:axId val="145173275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554063"/>
        <c:crosses val="autoZero"/>
        <c:auto val="1"/>
        <c:lblAlgn val="ctr"/>
        <c:lblOffset val="100"/>
        <c:noMultiLvlLbl val="0"/>
      </c:catAx>
      <c:valAx>
        <c:axId val="126955406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73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Work-Life Balance Ratings and Resignation Trends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Tables'!$H$19:$H$20</c:f>
              <c:strCache>
                <c:ptCount val="1"/>
                <c:pt idx="0">
                  <c:v>Stayed</c:v>
                </c:pt>
              </c:strCache>
            </c:strRef>
          </c:tx>
          <c:spPr>
            <a:solidFill>
              <a:schemeClr val="accent1"/>
            </a:solidFill>
            <a:ln>
              <a:noFill/>
            </a:ln>
            <a:effectLst/>
          </c:spPr>
          <c:invertIfNegative val="0"/>
          <c:cat>
            <c:strRef>
              <c:f>'Pivot Tables'!$G$21:$G$25</c:f>
              <c:strCache>
                <c:ptCount val="4"/>
                <c:pt idx="0">
                  <c:v>1</c:v>
                </c:pt>
                <c:pt idx="1">
                  <c:v>2</c:v>
                </c:pt>
                <c:pt idx="2">
                  <c:v>3</c:v>
                </c:pt>
                <c:pt idx="3">
                  <c:v>4</c:v>
                </c:pt>
              </c:strCache>
            </c:strRef>
          </c:cat>
          <c:val>
            <c:numRef>
              <c:f>'Pivot Tables'!$H$21:$H$25</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0-226A-484D-8DA7-511B0867E4EE}"/>
            </c:ext>
          </c:extLst>
        </c:ser>
        <c:ser>
          <c:idx val="1"/>
          <c:order val="1"/>
          <c:tx>
            <c:strRef>
              <c:f>'Pivot Tables'!$I$19:$I$20</c:f>
              <c:strCache>
                <c:ptCount val="1"/>
                <c:pt idx="0">
                  <c:v>Quit</c:v>
                </c:pt>
              </c:strCache>
            </c:strRef>
          </c:tx>
          <c:spPr>
            <a:solidFill>
              <a:schemeClr val="accent2"/>
            </a:solidFill>
            <a:ln>
              <a:noFill/>
            </a:ln>
            <a:effectLst/>
          </c:spPr>
          <c:invertIfNegative val="0"/>
          <c:cat>
            <c:strRef>
              <c:f>'Pivot Tables'!$G$21:$G$25</c:f>
              <c:strCache>
                <c:ptCount val="4"/>
                <c:pt idx="0">
                  <c:v>1</c:v>
                </c:pt>
                <c:pt idx="1">
                  <c:v>2</c:v>
                </c:pt>
                <c:pt idx="2">
                  <c:v>3</c:v>
                </c:pt>
                <c:pt idx="3">
                  <c:v>4</c:v>
                </c:pt>
              </c:strCache>
            </c:strRef>
          </c:cat>
          <c:val>
            <c:numRef>
              <c:f>'Pivot Tables'!$I$21:$I$25</c:f>
              <c:numCache>
                <c:formatCode>General</c:formatCode>
                <c:ptCount val="4"/>
                <c:pt idx="0">
                  <c:v>25</c:v>
                </c:pt>
                <c:pt idx="1">
                  <c:v>58</c:v>
                </c:pt>
                <c:pt idx="2">
                  <c:v>127</c:v>
                </c:pt>
                <c:pt idx="3">
                  <c:v>27</c:v>
                </c:pt>
              </c:numCache>
            </c:numRef>
          </c:val>
          <c:extLst>
            <c:ext xmlns:c16="http://schemas.microsoft.com/office/drawing/2014/chart" uri="{C3380CC4-5D6E-409C-BE32-E72D297353CC}">
              <c16:uniqueId val="{00000001-226A-484D-8DA7-511B0867E4EE}"/>
            </c:ext>
          </c:extLst>
        </c:ser>
        <c:dLbls>
          <c:showLegendKey val="0"/>
          <c:showVal val="0"/>
          <c:showCatName val="0"/>
          <c:showSerName val="0"/>
          <c:showPercent val="0"/>
          <c:showBubbleSize val="0"/>
        </c:dLbls>
        <c:gapWidth val="219"/>
        <c:overlap val="-27"/>
        <c:axId val="1452169888"/>
        <c:axId val="1269604943"/>
      </c:barChart>
      <c:catAx>
        <c:axId val="1452169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604943"/>
        <c:crosses val="autoZero"/>
        <c:auto val="1"/>
        <c:lblAlgn val="ctr"/>
        <c:lblOffset val="100"/>
        <c:noMultiLvlLbl val="0"/>
      </c:catAx>
      <c:valAx>
        <c:axId val="126960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16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Attrition Rates for Overtime vs. Non-Overtime Staff</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Tables'!$H$27:$H$28</c:f>
              <c:strCache>
                <c:ptCount val="1"/>
                <c:pt idx="0">
                  <c:v>Stayed</c:v>
                </c:pt>
              </c:strCache>
            </c:strRef>
          </c:tx>
          <c:spPr>
            <a:solidFill>
              <a:schemeClr val="accent1"/>
            </a:solidFill>
            <a:ln>
              <a:noFill/>
            </a:ln>
            <a:effectLst/>
          </c:spPr>
          <c:invertIfNegative val="0"/>
          <c:cat>
            <c:strRef>
              <c:f>'Pivot Tables'!$G$29:$G$31</c:f>
              <c:strCache>
                <c:ptCount val="2"/>
                <c:pt idx="0">
                  <c:v>No Overtime</c:v>
                </c:pt>
                <c:pt idx="1">
                  <c:v>Overtime</c:v>
                </c:pt>
              </c:strCache>
            </c:strRef>
          </c:cat>
          <c:val>
            <c:numRef>
              <c:f>'Pivot Tables'!$H$29:$H$31</c:f>
              <c:numCache>
                <c:formatCode>General</c:formatCode>
                <c:ptCount val="2"/>
                <c:pt idx="0">
                  <c:v>944</c:v>
                </c:pt>
                <c:pt idx="1">
                  <c:v>289</c:v>
                </c:pt>
              </c:numCache>
            </c:numRef>
          </c:val>
          <c:extLst>
            <c:ext xmlns:c16="http://schemas.microsoft.com/office/drawing/2014/chart" uri="{C3380CC4-5D6E-409C-BE32-E72D297353CC}">
              <c16:uniqueId val="{00000000-019B-49DF-B146-ED33D79346E2}"/>
            </c:ext>
          </c:extLst>
        </c:ser>
        <c:ser>
          <c:idx val="1"/>
          <c:order val="1"/>
          <c:tx>
            <c:strRef>
              <c:f>'Pivot Tables'!$I$27:$I$28</c:f>
              <c:strCache>
                <c:ptCount val="1"/>
                <c:pt idx="0">
                  <c:v>Quit</c:v>
                </c:pt>
              </c:strCache>
            </c:strRef>
          </c:tx>
          <c:spPr>
            <a:solidFill>
              <a:schemeClr val="accent2"/>
            </a:solidFill>
            <a:ln>
              <a:noFill/>
            </a:ln>
            <a:effectLst/>
          </c:spPr>
          <c:invertIfNegative val="0"/>
          <c:cat>
            <c:strRef>
              <c:f>'Pivot Tables'!$G$29:$G$31</c:f>
              <c:strCache>
                <c:ptCount val="2"/>
                <c:pt idx="0">
                  <c:v>No Overtime</c:v>
                </c:pt>
                <c:pt idx="1">
                  <c:v>Overtime</c:v>
                </c:pt>
              </c:strCache>
            </c:strRef>
          </c:cat>
          <c:val>
            <c:numRef>
              <c:f>'Pivot Tables'!$I$29:$I$31</c:f>
              <c:numCache>
                <c:formatCode>General</c:formatCode>
                <c:ptCount val="2"/>
                <c:pt idx="0">
                  <c:v>110</c:v>
                </c:pt>
                <c:pt idx="1">
                  <c:v>127</c:v>
                </c:pt>
              </c:numCache>
            </c:numRef>
          </c:val>
          <c:extLst>
            <c:ext xmlns:c16="http://schemas.microsoft.com/office/drawing/2014/chart" uri="{C3380CC4-5D6E-409C-BE32-E72D297353CC}">
              <c16:uniqueId val="{00000001-019B-49DF-B146-ED33D79346E2}"/>
            </c:ext>
          </c:extLst>
        </c:ser>
        <c:dLbls>
          <c:showLegendKey val="0"/>
          <c:showVal val="0"/>
          <c:showCatName val="0"/>
          <c:showSerName val="0"/>
          <c:showPercent val="0"/>
          <c:showBubbleSize val="0"/>
        </c:dLbls>
        <c:gapWidth val="219"/>
        <c:overlap val="-27"/>
        <c:axId val="1452204224"/>
        <c:axId val="1269595823"/>
      </c:barChart>
      <c:catAx>
        <c:axId val="145220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9595823"/>
        <c:crosses val="autoZero"/>
        <c:auto val="1"/>
        <c:lblAlgn val="ctr"/>
        <c:lblOffset val="100"/>
        <c:noMultiLvlLbl val="0"/>
      </c:catAx>
      <c:valAx>
        <c:axId val="1269595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220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Tables!PivotTable1</c:name>
    <c:fmtId val="10"/>
  </c:pivotSource>
  <c:chart>
    <c:title>
      <c:tx>
        <c:rich>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r>
              <a:rPr lang="en-US"/>
              <a:t>Employee Retention by Department</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Stayed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Tables'!$A$5:$A$8</c:f>
              <c:strCache>
                <c:ptCount val="3"/>
                <c:pt idx="0">
                  <c:v>Human Resources</c:v>
                </c:pt>
                <c:pt idx="1">
                  <c:v>Research &amp; Development</c:v>
                </c:pt>
                <c:pt idx="2">
                  <c:v>Sales</c:v>
                </c:pt>
              </c:strCache>
            </c:strRef>
          </c:cat>
          <c:val>
            <c:numRef>
              <c:f>'Pivot Tables'!$B$5:$B$8</c:f>
              <c:numCache>
                <c:formatCode>General</c:formatCode>
                <c:ptCount val="3"/>
                <c:pt idx="0">
                  <c:v>51</c:v>
                </c:pt>
                <c:pt idx="1">
                  <c:v>828</c:v>
                </c:pt>
                <c:pt idx="2">
                  <c:v>354</c:v>
                </c:pt>
              </c:numCache>
            </c:numRef>
          </c:val>
          <c:extLst>
            <c:ext xmlns:c16="http://schemas.microsoft.com/office/drawing/2014/chart" uri="{C3380CC4-5D6E-409C-BE32-E72D297353CC}">
              <c16:uniqueId val="{00000000-F5E0-43B8-A5D7-98EEBA633A84}"/>
            </c:ext>
          </c:extLst>
        </c:ser>
        <c:ser>
          <c:idx val="1"/>
          <c:order val="1"/>
          <c:tx>
            <c:strRef>
              <c:f>'Pivot Tables'!$C$3:$C$4</c:f>
              <c:strCache>
                <c:ptCount val="1"/>
                <c:pt idx="0">
                  <c:v>Quit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Tables'!$A$5:$A$8</c:f>
              <c:strCache>
                <c:ptCount val="3"/>
                <c:pt idx="0">
                  <c:v>Human Resources</c:v>
                </c:pt>
                <c:pt idx="1">
                  <c:v>Research &amp; Development</c:v>
                </c:pt>
                <c:pt idx="2">
                  <c:v>Sales</c:v>
                </c:pt>
              </c:strCache>
            </c:strRef>
          </c:cat>
          <c:val>
            <c:numRef>
              <c:f>'Pivot Tables'!$C$5:$C$8</c:f>
              <c:numCache>
                <c:formatCode>General</c:formatCode>
                <c:ptCount val="3"/>
                <c:pt idx="0">
                  <c:v>12</c:v>
                </c:pt>
                <c:pt idx="1">
                  <c:v>133</c:v>
                </c:pt>
                <c:pt idx="2">
                  <c:v>92</c:v>
                </c:pt>
              </c:numCache>
            </c:numRef>
          </c:val>
          <c:extLst>
            <c:ext xmlns:c16="http://schemas.microsoft.com/office/drawing/2014/chart" uri="{C3380CC4-5D6E-409C-BE32-E72D297353CC}">
              <c16:uniqueId val="{00000001-F5E0-43B8-A5D7-98EEBA633A84}"/>
            </c:ext>
          </c:extLst>
        </c:ser>
        <c:dLbls>
          <c:dLblPos val="outEnd"/>
          <c:showLegendKey val="0"/>
          <c:showVal val="1"/>
          <c:showCatName val="0"/>
          <c:showSerName val="0"/>
          <c:showPercent val="0"/>
          <c:showBubbleSize val="0"/>
        </c:dLbls>
        <c:gapWidth val="219"/>
        <c:overlap val="-27"/>
        <c:axId val="483070959"/>
        <c:axId val="1269561743"/>
      </c:barChart>
      <c:catAx>
        <c:axId val="483070959"/>
        <c:scaling>
          <c:orientation val="minMax"/>
        </c:scaling>
        <c:delete val="0"/>
        <c:axPos val="b"/>
        <c:numFmt formatCode="General" sourceLinked="1"/>
        <c:majorTickMark val="none"/>
        <c:minorTickMark val="none"/>
        <c:tickLblPos val="nextTo"/>
        <c:spPr>
          <a:noFill/>
          <a:ln w="9525" cap="flat" cmpd="sng" algn="ctr">
            <a:solidFill>
              <a:srgbClr val="AAB7C4"/>
            </a:solidFill>
            <a:prstDash val="solid"/>
            <a:roun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269561743"/>
        <c:crosses val="autoZero"/>
        <c:auto val="1"/>
        <c:lblAlgn val="ctr"/>
        <c:lblOffset val="100"/>
        <c:noMultiLvlLbl val="0"/>
      </c:catAx>
      <c:valAx>
        <c:axId val="1269561743"/>
        <c:scaling>
          <c:orientation val="minMax"/>
        </c:scaling>
        <c:delete val="0"/>
        <c:axPos val="l"/>
        <c:majorGridlines>
          <c:spPr>
            <a:ln w="9525" cap="flat" cmpd="sng" algn="ctr">
              <a:solidFill>
                <a:srgbClr val="E3E9EF"/>
              </a:solidFill>
              <a:prstDash val="solid"/>
              <a:round/>
            </a:ln>
            <a:effectLst/>
          </c:spPr>
        </c:majorGridlines>
        <c:numFmt formatCode="#,##0" sourceLinked="0"/>
        <c:majorTickMark val="none"/>
        <c:minorTickMark val="none"/>
        <c:tickLblPos val="nextTo"/>
        <c:spPr>
          <a:noFill/>
          <a:ln>
            <a:solidFill>
              <a:srgbClr val="AAB7C4"/>
            </a:solidFill>
            <a:prstDash val="soli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483070959"/>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2677D"/>
              </a:solidFill>
              <a:latin typeface="Aptos"/>
              <a:ea typeface="Aptos"/>
              <a:cs typeface="Apto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Tables!PivotTable3</c:name>
    <c:fmtId val="2"/>
  </c:pivotSource>
  <c:chart>
    <c:title>
      <c:tx>
        <c:rich>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r>
              <a:rPr lang="en-US"/>
              <a:t>Average Monthly Income by Job Role &amp; Attrition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Tables'!$B$11:$B$12</c:f>
              <c:strCache>
                <c:ptCount val="1"/>
                <c:pt idx="0">
                  <c:v>Stayed</c:v>
                </c:pt>
              </c:strCache>
            </c:strRef>
          </c:tx>
          <c:spPr>
            <a:solidFill>
              <a:schemeClr val="accent1"/>
            </a:solidFill>
            <a:ln>
              <a:noFill/>
            </a:ln>
            <a:effectLst/>
          </c:spPr>
          <c:invertIfNegative val="0"/>
          <c:cat>
            <c:strRef>
              <c:f>'Pivot Tables'!$A$13:$A$22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Tables'!$B$13:$B$22</c:f>
              <c:numCache>
                <c:formatCode>"£"#,##0.00</c:formatCode>
                <c:ptCount val="9"/>
                <c:pt idx="0">
                  <c:v>7453.5573770491801</c:v>
                </c:pt>
                <c:pt idx="1">
                  <c:v>4391.75</c:v>
                </c:pt>
                <c:pt idx="2">
                  <c:v>3337.223350253807</c:v>
                </c:pt>
                <c:pt idx="3">
                  <c:v>17201.484536082473</c:v>
                </c:pt>
                <c:pt idx="4">
                  <c:v>7289.9259259259261</c:v>
                </c:pt>
                <c:pt idx="5">
                  <c:v>15947.346153846154</c:v>
                </c:pt>
                <c:pt idx="6">
                  <c:v>3328.1224489795918</c:v>
                </c:pt>
                <c:pt idx="7">
                  <c:v>6804.6171003717473</c:v>
                </c:pt>
                <c:pt idx="8">
                  <c:v>2798.44</c:v>
                </c:pt>
              </c:numCache>
            </c:numRef>
          </c:val>
          <c:extLst>
            <c:ext xmlns:c16="http://schemas.microsoft.com/office/drawing/2014/chart" uri="{C3380CC4-5D6E-409C-BE32-E72D297353CC}">
              <c16:uniqueId val="{00000000-CB4C-4F2F-9D05-925FC9384DAC}"/>
            </c:ext>
          </c:extLst>
        </c:ser>
        <c:ser>
          <c:idx val="1"/>
          <c:order val="1"/>
          <c:tx>
            <c:strRef>
              <c:f>'Pivot Tables'!$C$11:$C$12</c:f>
              <c:strCache>
                <c:ptCount val="1"/>
                <c:pt idx="0">
                  <c:v>Quit</c:v>
                </c:pt>
              </c:strCache>
            </c:strRef>
          </c:tx>
          <c:spPr>
            <a:solidFill>
              <a:schemeClr val="accent2"/>
            </a:solidFill>
            <a:ln>
              <a:noFill/>
            </a:ln>
            <a:effectLst/>
          </c:spPr>
          <c:invertIfNegative val="0"/>
          <c:cat>
            <c:strRef>
              <c:f>'Pivot Tables'!$A$13:$A$22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Tables'!$C$13:$C$22</c:f>
              <c:numCache>
                <c:formatCode>"£"#,##0.00</c:formatCode>
                <c:ptCount val="9"/>
                <c:pt idx="0">
                  <c:v>8548.2222222222226</c:v>
                </c:pt>
                <c:pt idx="1">
                  <c:v>3715.75</c:v>
                </c:pt>
                <c:pt idx="2">
                  <c:v>2919.2580645161293</c:v>
                </c:pt>
                <c:pt idx="3">
                  <c:v>16797.400000000001</c:v>
                </c:pt>
                <c:pt idx="4">
                  <c:v>7365.5</c:v>
                </c:pt>
                <c:pt idx="5">
                  <c:v>19395.5</c:v>
                </c:pt>
                <c:pt idx="6">
                  <c:v>2780.4680851063831</c:v>
                </c:pt>
                <c:pt idx="7">
                  <c:v>7489</c:v>
                </c:pt>
                <c:pt idx="8">
                  <c:v>2364.7272727272725</c:v>
                </c:pt>
              </c:numCache>
            </c:numRef>
          </c:val>
          <c:extLst>
            <c:ext xmlns:c16="http://schemas.microsoft.com/office/drawing/2014/chart" uri="{C3380CC4-5D6E-409C-BE32-E72D297353CC}">
              <c16:uniqueId val="{00000001-CB4C-4F2F-9D05-925FC9384DAC}"/>
            </c:ext>
          </c:extLst>
        </c:ser>
        <c:dLbls>
          <c:showLegendKey val="0"/>
          <c:showVal val="0"/>
          <c:showCatName val="0"/>
          <c:showSerName val="0"/>
          <c:showPercent val="0"/>
          <c:showBubbleSize val="0"/>
        </c:dLbls>
        <c:gapWidth val="182"/>
        <c:axId val="1277593119"/>
        <c:axId val="1269520463"/>
      </c:barChart>
      <c:catAx>
        <c:axId val="1277593119"/>
        <c:scaling>
          <c:orientation val="minMax"/>
        </c:scaling>
        <c:delete val="0"/>
        <c:axPos val="l"/>
        <c:numFmt formatCode="General" sourceLinked="1"/>
        <c:majorTickMark val="none"/>
        <c:minorTickMark val="none"/>
        <c:tickLblPos val="nextTo"/>
        <c:spPr>
          <a:noFill/>
          <a:ln w="9525" cap="flat" cmpd="sng" algn="ctr">
            <a:solidFill>
              <a:srgbClr val="AAB7C4"/>
            </a:solidFill>
            <a:prstDash val="solid"/>
            <a:roun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269520463"/>
        <c:crosses val="autoZero"/>
        <c:auto val="1"/>
        <c:lblAlgn val="ctr"/>
        <c:lblOffset val="100"/>
        <c:noMultiLvlLbl val="0"/>
      </c:catAx>
      <c:valAx>
        <c:axId val="1269520463"/>
        <c:scaling>
          <c:orientation val="minMax"/>
        </c:scaling>
        <c:delete val="0"/>
        <c:axPos val="b"/>
        <c:majorGridlines>
          <c:spPr>
            <a:ln w="9525" cap="flat" cmpd="sng" algn="ctr">
              <a:solidFill>
                <a:srgbClr val="E3E9EF"/>
              </a:solidFill>
              <a:prstDash val="solid"/>
              <a:round/>
            </a:ln>
            <a:effectLst/>
          </c:spPr>
        </c:majorGridlines>
        <c:numFmt formatCode="\£#,##0" sourceLinked="0"/>
        <c:majorTickMark val="none"/>
        <c:minorTickMark val="none"/>
        <c:tickLblPos val="nextTo"/>
        <c:spPr>
          <a:noFill/>
          <a:ln>
            <a:solidFill>
              <a:srgbClr val="AAB7C4"/>
            </a:solidFill>
            <a:prstDash val="soli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277593119"/>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2677D"/>
              </a:solidFill>
              <a:latin typeface="Aptos"/>
              <a:ea typeface="Aptos"/>
              <a:cs typeface="Apto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Tables!PivotTable4</c:name>
    <c:fmtId val="2"/>
  </c:pivotSource>
  <c:chart>
    <c:title>
      <c:tx>
        <c:rich>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r>
              <a:rPr lang="en-US"/>
              <a:t>Employee Status by Years at Company</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Tables'!$B$25:$B$26</c:f>
              <c:strCache>
                <c:ptCount val="1"/>
                <c:pt idx="0">
                  <c:v>Stayed</c:v>
                </c:pt>
              </c:strCache>
            </c:strRef>
          </c:tx>
          <c:spPr>
            <a:solidFill>
              <a:schemeClr val="accent1"/>
            </a:solidFill>
            <a:ln>
              <a:noFill/>
            </a:ln>
            <a:effectLst/>
          </c:spPr>
          <c:invertIfNegative val="0"/>
          <c:cat>
            <c:strRef>
              <c:f>'Pivot Tables'!$A$27:$A$64</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 Tables'!$B$27:$B$64</c:f>
              <c:numCache>
                <c:formatCode>General</c:formatCode>
                <c:ptCount val="37"/>
                <c:pt idx="0">
                  <c:v>28</c:v>
                </c:pt>
                <c:pt idx="1">
                  <c:v>112</c:v>
                </c:pt>
                <c:pt idx="2">
                  <c:v>100</c:v>
                </c:pt>
                <c:pt idx="3">
                  <c:v>108</c:v>
                </c:pt>
                <c:pt idx="4">
                  <c:v>91</c:v>
                </c:pt>
                <c:pt idx="5">
                  <c:v>175</c:v>
                </c:pt>
                <c:pt idx="6">
                  <c:v>67</c:v>
                </c:pt>
                <c:pt idx="7">
                  <c:v>79</c:v>
                </c:pt>
                <c:pt idx="8">
                  <c:v>71</c:v>
                </c:pt>
                <c:pt idx="9">
                  <c:v>74</c:v>
                </c:pt>
                <c:pt idx="10">
                  <c:v>102</c:v>
                </c:pt>
                <c:pt idx="11">
                  <c:v>30</c:v>
                </c:pt>
                <c:pt idx="12">
                  <c:v>14</c:v>
                </c:pt>
                <c:pt idx="13">
                  <c:v>22</c:v>
                </c:pt>
                <c:pt idx="14">
                  <c:v>16</c:v>
                </c:pt>
                <c:pt idx="15">
                  <c:v>19</c:v>
                </c:pt>
                <c:pt idx="16">
                  <c:v>11</c:v>
                </c:pt>
                <c:pt idx="17">
                  <c:v>8</c:v>
                </c:pt>
                <c:pt idx="18">
                  <c:v>12</c:v>
                </c:pt>
                <c:pt idx="19">
                  <c:v>10</c:v>
                </c:pt>
                <c:pt idx="20">
                  <c:v>26</c:v>
                </c:pt>
                <c:pt idx="21">
                  <c:v>13</c:v>
                </c:pt>
                <c:pt idx="22">
                  <c:v>14</c:v>
                </c:pt>
                <c:pt idx="23">
                  <c:v>1</c:v>
                </c:pt>
                <c:pt idx="24">
                  <c:v>5</c:v>
                </c:pt>
                <c:pt idx="25">
                  <c:v>4</c:v>
                </c:pt>
                <c:pt idx="26">
                  <c:v>4</c:v>
                </c:pt>
                <c:pt idx="27">
                  <c:v>2</c:v>
                </c:pt>
                <c:pt idx="28">
                  <c:v>2</c:v>
                </c:pt>
                <c:pt idx="29">
                  <c:v>1</c:v>
                </c:pt>
                <c:pt idx="30">
                  <c:v>2</c:v>
                </c:pt>
                <c:pt idx="31">
                  <c:v>2</c:v>
                </c:pt>
                <c:pt idx="32">
                  <c:v>4</c:v>
                </c:pt>
                <c:pt idx="33">
                  <c:v>1</c:v>
                </c:pt>
                <c:pt idx="34">
                  <c:v>2</c:v>
                </c:pt>
                <c:pt idx="35">
                  <c:v>1</c:v>
                </c:pt>
              </c:numCache>
            </c:numRef>
          </c:val>
          <c:extLst>
            <c:ext xmlns:c16="http://schemas.microsoft.com/office/drawing/2014/chart" uri="{C3380CC4-5D6E-409C-BE32-E72D297353CC}">
              <c16:uniqueId val="{00000000-CE02-4F37-BF74-9FDDD0804CB2}"/>
            </c:ext>
          </c:extLst>
        </c:ser>
        <c:ser>
          <c:idx val="1"/>
          <c:order val="1"/>
          <c:tx>
            <c:strRef>
              <c:f>'Pivot Tables'!$C$25:$C$26</c:f>
              <c:strCache>
                <c:ptCount val="1"/>
                <c:pt idx="0">
                  <c:v>Quit</c:v>
                </c:pt>
              </c:strCache>
            </c:strRef>
          </c:tx>
          <c:spPr>
            <a:solidFill>
              <a:schemeClr val="accent2"/>
            </a:solidFill>
            <a:ln>
              <a:noFill/>
            </a:ln>
            <a:effectLst/>
          </c:spPr>
          <c:invertIfNegative val="0"/>
          <c:cat>
            <c:strRef>
              <c:f>'Pivot Tables'!$A$27:$A$64</c:f>
              <c:strCache>
                <c:ptCount val="3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29</c:v>
                </c:pt>
                <c:pt idx="29">
                  <c:v>30</c:v>
                </c:pt>
                <c:pt idx="30">
                  <c:v>31</c:v>
                </c:pt>
                <c:pt idx="31">
                  <c:v>32</c:v>
                </c:pt>
                <c:pt idx="32">
                  <c:v>33</c:v>
                </c:pt>
                <c:pt idx="33">
                  <c:v>34</c:v>
                </c:pt>
                <c:pt idx="34">
                  <c:v>36</c:v>
                </c:pt>
                <c:pt idx="35">
                  <c:v>37</c:v>
                </c:pt>
                <c:pt idx="36">
                  <c:v>40</c:v>
                </c:pt>
              </c:strCache>
            </c:strRef>
          </c:cat>
          <c:val>
            <c:numRef>
              <c:f>'Pivot Tables'!$C$27:$C$64</c:f>
              <c:numCache>
                <c:formatCode>General</c:formatCode>
                <c:ptCount val="37"/>
                <c:pt idx="0">
                  <c:v>16</c:v>
                </c:pt>
                <c:pt idx="1">
                  <c:v>59</c:v>
                </c:pt>
                <c:pt idx="2">
                  <c:v>27</c:v>
                </c:pt>
                <c:pt idx="3">
                  <c:v>20</c:v>
                </c:pt>
                <c:pt idx="4">
                  <c:v>19</c:v>
                </c:pt>
                <c:pt idx="5">
                  <c:v>21</c:v>
                </c:pt>
                <c:pt idx="6">
                  <c:v>9</c:v>
                </c:pt>
                <c:pt idx="7">
                  <c:v>11</c:v>
                </c:pt>
                <c:pt idx="8">
                  <c:v>9</c:v>
                </c:pt>
                <c:pt idx="9">
                  <c:v>8</c:v>
                </c:pt>
                <c:pt idx="10">
                  <c:v>18</c:v>
                </c:pt>
                <c:pt idx="11">
                  <c:v>2</c:v>
                </c:pt>
                <c:pt idx="13">
                  <c:v>2</c:v>
                </c:pt>
                <c:pt idx="14">
                  <c:v>2</c:v>
                </c:pt>
                <c:pt idx="15">
                  <c:v>1</c:v>
                </c:pt>
                <c:pt idx="16">
                  <c:v>1</c:v>
                </c:pt>
                <c:pt idx="17">
                  <c:v>1</c:v>
                </c:pt>
                <c:pt idx="18">
                  <c:v>1</c:v>
                </c:pt>
                <c:pt idx="19">
                  <c:v>1</c:v>
                </c:pt>
                <c:pt idx="20">
                  <c:v>1</c:v>
                </c:pt>
                <c:pt idx="21">
                  <c:v>1</c:v>
                </c:pt>
                <c:pt idx="22">
                  <c:v>1</c:v>
                </c:pt>
                <c:pt idx="23">
                  <c:v>1</c:v>
                </c:pt>
                <c:pt idx="24">
                  <c:v>1</c:v>
                </c:pt>
                <c:pt idx="30">
                  <c:v>1</c:v>
                </c:pt>
                <c:pt idx="31">
                  <c:v>1</c:v>
                </c:pt>
                <c:pt idx="32">
                  <c:v>1</c:v>
                </c:pt>
                <c:pt idx="36">
                  <c:v>1</c:v>
                </c:pt>
              </c:numCache>
            </c:numRef>
          </c:val>
          <c:extLst>
            <c:ext xmlns:c16="http://schemas.microsoft.com/office/drawing/2014/chart" uri="{C3380CC4-5D6E-409C-BE32-E72D297353CC}">
              <c16:uniqueId val="{00000001-CE02-4F37-BF74-9FDDD0804CB2}"/>
            </c:ext>
          </c:extLst>
        </c:ser>
        <c:dLbls>
          <c:showLegendKey val="0"/>
          <c:showVal val="0"/>
          <c:showCatName val="0"/>
          <c:showSerName val="0"/>
          <c:showPercent val="0"/>
          <c:showBubbleSize val="0"/>
        </c:dLbls>
        <c:gapWidth val="219"/>
        <c:overlap val="-27"/>
        <c:axId val="1289461727"/>
        <c:axId val="1269559343"/>
      </c:barChart>
      <c:catAx>
        <c:axId val="1289461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Years at Company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AAB7C4"/>
            </a:solidFill>
            <a:prstDash val="solid"/>
            <a:roun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269559343"/>
        <c:crosses val="autoZero"/>
        <c:auto val="1"/>
        <c:lblAlgn val="ctr"/>
        <c:lblOffset val="100"/>
        <c:noMultiLvlLbl val="0"/>
      </c:catAx>
      <c:valAx>
        <c:axId val="1269559343"/>
        <c:scaling>
          <c:orientation val="minMax"/>
        </c:scaling>
        <c:delete val="0"/>
        <c:axPos val="l"/>
        <c:majorGridlines>
          <c:spPr>
            <a:ln w="9525" cap="flat" cmpd="sng" algn="ctr">
              <a:solidFill>
                <a:srgbClr val="E3E9EF"/>
              </a:solidFill>
              <a:prstDash val="solid"/>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solidFill>
              <a:srgbClr val="AAB7C4"/>
            </a:solidFill>
            <a:prstDash val="soli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289461727"/>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2677D"/>
              </a:solidFill>
              <a:latin typeface="Aptos"/>
              <a:ea typeface="Aptos"/>
              <a:cs typeface="Apto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Tables!PivotTable5</c:name>
    <c:fmtId val="2"/>
  </c:pivotSource>
  <c:chart>
    <c:title>
      <c:tx>
        <c:rich>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r>
              <a:rPr lang="en-US"/>
              <a:t>Retention by Job Satisfaction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Tables'!$H$3:$H$4</c:f>
              <c:strCache>
                <c:ptCount val="1"/>
                <c:pt idx="0">
                  <c:v>Stayed</c:v>
                </c:pt>
              </c:strCache>
            </c:strRef>
          </c:tx>
          <c:spPr>
            <a:solidFill>
              <a:schemeClr val="accent1"/>
            </a:solidFill>
            <a:ln>
              <a:noFill/>
            </a:ln>
            <a:effectLst/>
          </c:spPr>
          <c:invertIfNegative val="0"/>
          <c:cat>
            <c:strRef>
              <c:f>'Pivot Tables'!$G$5:$G$9</c:f>
              <c:strCache>
                <c:ptCount val="4"/>
                <c:pt idx="0">
                  <c:v>1</c:v>
                </c:pt>
                <c:pt idx="1">
                  <c:v>2</c:v>
                </c:pt>
                <c:pt idx="2">
                  <c:v>3</c:v>
                </c:pt>
                <c:pt idx="3">
                  <c:v>4</c:v>
                </c:pt>
              </c:strCache>
            </c:strRef>
          </c:cat>
          <c:val>
            <c:numRef>
              <c:f>'Pivot Tables'!$H$5:$H$9</c:f>
              <c:numCache>
                <c:formatCode>General</c:formatCode>
                <c:ptCount val="4"/>
                <c:pt idx="0">
                  <c:v>223</c:v>
                </c:pt>
                <c:pt idx="1">
                  <c:v>234</c:v>
                </c:pt>
                <c:pt idx="2">
                  <c:v>369</c:v>
                </c:pt>
                <c:pt idx="3">
                  <c:v>407</c:v>
                </c:pt>
              </c:numCache>
            </c:numRef>
          </c:val>
          <c:extLst>
            <c:ext xmlns:c16="http://schemas.microsoft.com/office/drawing/2014/chart" uri="{C3380CC4-5D6E-409C-BE32-E72D297353CC}">
              <c16:uniqueId val="{00000000-52BA-4D07-9DA5-63AF706D5AA9}"/>
            </c:ext>
          </c:extLst>
        </c:ser>
        <c:ser>
          <c:idx val="1"/>
          <c:order val="1"/>
          <c:tx>
            <c:strRef>
              <c:f>'Pivot Tables'!$I$3:$I$4</c:f>
              <c:strCache>
                <c:ptCount val="1"/>
                <c:pt idx="0">
                  <c:v>Quit</c:v>
                </c:pt>
              </c:strCache>
            </c:strRef>
          </c:tx>
          <c:spPr>
            <a:solidFill>
              <a:schemeClr val="accent2"/>
            </a:solidFill>
            <a:ln>
              <a:noFill/>
            </a:ln>
            <a:effectLst/>
          </c:spPr>
          <c:invertIfNegative val="0"/>
          <c:cat>
            <c:strRef>
              <c:f>'Pivot Tables'!$G$5:$G$9</c:f>
              <c:strCache>
                <c:ptCount val="4"/>
                <c:pt idx="0">
                  <c:v>1</c:v>
                </c:pt>
                <c:pt idx="1">
                  <c:v>2</c:v>
                </c:pt>
                <c:pt idx="2">
                  <c:v>3</c:v>
                </c:pt>
                <c:pt idx="3">
                  <c:v>4</c:v>
                </c:pt>
              </c:strCache>
            </c:strRef>
          </c:cat>
          <c:val>
            <c:numRef>
              <c:f>'Pivot Tables'!$I$5:$I$9</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1-52BA-4D07-9DA5-63AF706D5AA9}"/>
            </c:ext>
          </c:extLst>
        </c:ser>
        <c:dLbls>
          <c:showLegendKey val="0"/>
          <c:showVal val="0"/>
          <c:showCatName val="0"/>
          <c:showSerName val="0"/>
          <c:showPercent val="0"/>
          <c:showBubbleSize val="0"/>
        </c:dLbls>
        <c:gapWidth val="219"/>
        <c:overlap val="-27"/>
        <c:axId val="1451781936"/>
        <c:axId val="1269609263"/>
      </c:barChart>
      <c:catAx>
        <c:axId val="1451781936"/>
        <c:scaling>
          <c:orientation val="minMax"/>
        </c:scaling>
        <c:delete val="0"/>
        <c:axPos val="b"/>
        <c:numFmt formatCode="General" sourceLinked="1"/>
        <c:majorTickMark val="none"/>
        <c:minorTickMark val="none"/>
        <c:tickLblPos val="nextTo"/>
        <c:spPr>
          <a:noFill/>
          <a:ln w="9525" cap="flat" cmpd="sng" algn="ctr">
            <a:solidFill>
              <a:srgbClr val="AAB7C4"/>
            </a:solidFill>
            <a:prstDash val="solid"/>
            <a:roun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269609263"/>
        <c:crosses val="autoZero"/>
        <c:auto val="1"/>
        <c:lblAlgn val="ctr"/>
        <c:lblOffset val="100"/>
        <c:noMultiLvlLbl val="0"/>
      </c:catAx>
      <c:valAx>
        <c:axId val="1269609263"/>
        <c:scaling>
          <c:orientation val="minMax"/>
        </c:scaling>
        <c:delete val="0"/>
        <c:axPos val="l"/>
        <c:majorGridlines>
          <c:spPr>
            <a:ln w="9525" cap="flat" cmpd="sng" algn="ctr">
              <a:solidFill>
                <a:srgbClr val="E3E9EF"/>
              </a:solidFill>
              <a:prstDash val="solid"/>
              <a:round/>
            </a:ln>
            <a:effectLst/>
          </c:spPr>
        </c:majorGridlines>
        <c:numFmt formatCode="#,##0" sourceLinked="0"/>
        <c:majorTickMark val="none"/>
        <c:minorTickMark val="none"/>
        <c:tickLblPos val="nextTo"/>
        <c:spPr>
          <a:noFill/>
          <a:ln>
            <a:solidFill>
              <a:srgbClr val="AAB7C4"/>
            </a:solidFill>
            <a:prstDash val="soli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451781936"/>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2677D"/>
              </a:solidFill>
              <a:latin typeface="Aptos"/>
              <a:ea typeface="Aptos"/>
              <a:cs typeface="Apto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Tables!PivotTable7</c:name>
    <c:fmtId val="2"/>
  </c:pivotSource>
  <c:chart>
    <c:title>
      <c:tx>
        <c:rich>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r>
              <a:rPr lang="en-US"/>
              <a:t>Turnover by Environment Satisfaction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Tables'!$H$11:$H$12</c:f>
              <c:strCache>
                <c:ptCount val="1"/>
                <c:pt idx="0">
                  <c:v>Stayed</c:v>
                </c:pt>
              </c:strCache>
            </c:strRef>
          </c:tx>
          <c:spPr>
            <a:solidFill>
              <a:schemeClr val="accent1"/>
            </a:solidFill>
            <a:ln>
              <a:noFill/>
            </a:ln>
            <a:effectLst/>
          </c:spPr>
          <c:invertIfNegative val="0"/>
          <c:cat>
            <c:strRef>
              <c:f>'Pivot Tables'!$G$13:$G$17</c:f>
              <c:strCache>
                <c:ptCount val="4"/>
                <c:pt idx="0">
                  <c:v>1</c:v>
                </c:pt>
                <c:pt idx="1">
                  <c:v>2</c:v>
                </c:pt>
                <c:pt idx="2">
                  <c:v>3</c:v>
                </c:pt>
                <c:pt idx="3">
                  <c:v>4</c:v>
                </c:pt>
              </c:strCache>
            </c:strRef>
          </c:cat>
          <c:val>
            <c:numRef>
              <c:f>'Pivot Tables'!$H$13:$H$17</c:f>
              <c:numCache>
                <c:formatCode>General</c:formatCode>
                <c:ptCount val="4"/>
                <c:pt idx="0">
                  <c:v>212</c:v>
                </c:pt>
                <c:pt idx="1">
                  <c:v>244</c:v>
                </c:pt>
                <c:pt idx="2">
                  <c:v>391</c:v>
                </c:pt>
                <c:pt idx="3">
                  <c:v>386</c:v>
                </c:pt>
              </c:numCache>
            </c:numRef>
          </c:val>
          <c:extLst>
            <c:ext xmlns:c16="http://schemas.microsoft.com/office/drawing/2014/chart" uri="{C3380CC4-5D6E-409C-BE32-E72D297353CC}">
              <c16:uniqueId val="{00000000-1107-4ECB-A55C-41E4BBD4BDAE}"/>
            </c:ext>
          </c:extLst>
        </c:ser>
        <c:ser>
          <c:idx val="1"/>
          <c:order val="1"/>
          <c:tx>
            <c:strRef>
              <c:f>'Pivot Tables'!$I$11:$I$12</c:f>
              <c:strCache>
                <c:ptCount val="1"/>
                <c:pt idx="0">
                  <c:v>Quit</c:v>
                </c:pt>
              </c:strCache>
            </c:strRef>
          </c:tx>
          <c:spPr>
            <a:solidFill>
              <a:schemeClr val="accent2"/>
            </a:solidFill>
            <a:ln>
              <a:noFill/>
            </a:ln>
            <a:effectLst/>
          </c:spPr>
          <c:invertIfNegative val="0"/>
          <c:cat>
            <c:strRef>
              <c:f>'Pivot Tables'!$G$13:$G$17</c:f>
              <c:strCache>
                <c:ptCount val="4"/>
                <c:pt idx="0">
                  <c:v>1</c:v>
                </c:pt>
                <c:pt idx="1">
                  <c:v>2</c:v>
                </c:pt>
                <c:pt idx="2">
                  <c:v>3</c:v>
                </c:pt>
                <c:pt idx="3">
                  <c:v>4</c:v>
                </c:pt>
              </c:strCache>
            </c:strRef>
          </c:cat>
          <c:val>
            <c:numRef>
              <c:f>'Pivot Tables'!$I$13:$I$17</c:f>
              <c:numCache>
                <c:formatCode>General</c:formatCode>
                <c:ptCount val="4"/>
                <c:pt idx="0">
                  <c:v>72</c:v>
                </c:pt>
                <c:pt idx="1">
                  <c:v>43</c:v>
                </c:pt>
                <c:pt idx="2">
                  <c:v>62</c:v>
                </c:pt>
                <c:pt idx="3">
                  <c:v>60</c:v>
                </c:pt>
              </c:numCache>
            </c:numRef>
          </c:val>
          <c:extLst>
            <c:ext xmlns:c16="http://schemas.microsoft.com/office/drawing/2014/chart" uri="{C3380CC4-5D6E-409C-BE32-E72D297353CC}">
              <c16:uniqueId val="{00000001-1107-4ECB-A55C-41E4BBD4BDAE}"/>
            </c:ext>
          </c:extLst>
        </c:ser>
        <c:dLbls>
          <c:showLegendKey val="0"/>
          <c:showVal val="0"/>
          <c:showCatName val="0"/>
          <c:showSerName val="0"/>
          <c:showPercent val="0"/>
          <c:showBubbleSize val="0"/>
        </c:dLbls>
        <c:gapWidth val="219"/>
        <c:overlap val="-27"/>
        <c:axId val="1451732752"/>
        <c:axId val="1269554063"/>
      </c:barChart>
      <c:catAx>
        <c:axId val="145173275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AAB7C4"/>
            </a:solidFill>
            <a:prstDash val="solid"/>
            <a:roun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269554063"/>
        <c:crosses val="autoZero"/>
        <c:auto val="1"/>
        <c:lblAlgn val="ctr"/>
        <c:lblOffset val="100"/>
        <c:noMultiLvlLbl val="0"/>
      </c:catAx>
      <c:valAx>
        <c:axId val="1269554063"/>
        <c:scaling>
          <c:orientation val="minMax"/>
        </c:scaling>
        <c:delete val="0"/>
        <c:axPos val="l"/>
        <c:majorGridlines>
          <c:spPr>
            <a:ln w="9525" cap="flat" cmpd="sng" algn="ctr">
              <a:solidFill>
                <a:srgbClr val="E3E9EF"/>
              </a:solidFill>
              <a:prstDash val="solid"/>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solidFill>
              <a:srgbClr val="AAB7C4"/>
            </a:solidFill>
            <a:prstDash val="soli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451732752"/>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2677D"/>
              </a:solidFill>
              <a:latin typeface="Aptos"/>
              <a:ea typeface="Aptos"/>
              <a:cs typeface="Apto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Tables!PivotTable8</c:name>
    <c:fmtId val="2"/>
  </c:pivotSource>
  <c:chart>
    <c:title>
      <c:tx>
        <c:rich>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r>
              <a:rPr lang="en-US"/>
              <a:t>Resignation Trends by Work-Life Balance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Tables'!$H$19:$H$20</c:f>
              <c:strCache>
                <c:ptCount val="1"/>
                <c:pt idx="0">
                  <c:v>Stayed</c:v>
                </c:pt>
              </c:strCache>
            </c:strRef>
          </c:tx>
          <c:spPr>
            <a:solidFill>
              <a:schemeClr val="accent1"/>
            </a:solidFill>
            <a:ln>
              <a:noFill/>
            </a:ln>
            <a:effectLst/>
          </c:spPr>
          <c:invertIfNegative val="0"/>
          <c:cat>
            <c:strRef>
              <c:f>'Pivot Tables'!$G$21:$G$25</c:f>
              <c:strCache>
                <c:ptCount val="4"/>
                <c:pt idx="0">
                  <c:v>1</c:v>
                </c:pt>
                <c:pt idx="1">
                  <c:v>2</c:v>
                </c:pt>
                <c:pt idx="2">
                  <c:v>3</c:v>
                </c:pt>
                <c:pt idx="3">
                  <c:v>4</c:v>
                </c:pt>
              </c:strCache>
            </c:strRef>
          </c:cat>
          <c:val>
            <c:numRef>
              <c:f>'Pivot Tables'!$H$21:$H$25</c:f>
              <c:numCache>
                <c:formatCode>General</c:formatCode>
                <c:ptCount val="4"/>
                <c:pt idx="0">
                  <c:v>55</c:v>
                </c:pt>
                <c:pt idx="1">
                  <c:v>286</c:v>
                </c:pt>
                <c:pt idx="2">
                  <c:v>766</c:v>
                </c:pt>
                <c:pt idx="3">
                  <c:v>126</c:v>
                </c:pt>
              </c:numCache>
            </c:numRef>
          </c:val>
          <c:extLst>
            <c:ext xmlns:c16="http://schemas.microsoft.com/office/drawing/2014/chart" uri="{C3380CC4-5D6E-409C-BE32-E72D297353CC}">
              <c16:uniqueId val="{00000000-8E61-4CE4-9F33-D8C9DECAEFC4}"/>
            </c:ext>
          </c:extLst>
        </c:ser>
        <c:ser>
          <c:idx val="1"/>
          <c:order val="1"/>
          <c:tx>
            <c:strRef>
              <c:f>'Pivot Tables'!$I$19:$I$20</c:f>
              <c:strCache>
                <c:ptCount val="1"/>
                <c:pt idx="0">
                  <c:v>Quit</c:v>
                </c:pt>
              </c:strCache>
            </c:strRef>
          </c:tx>
          <c:spPr>
            <a:solidFill>
              <a:schemeClr val="accent2"/>
            </a:solidFill>
            <a:ln>
              <a:noFill/>
            </a:ln>
            <a:effectLst/>
          </c:spPr>
          <c:invertIfNegative val="0"/>
          <c:cat>
            <c:strRef>
              <c:f>'Pivot Tables'!$G$21:$G$25</c:f>
              <c:strCache>
                <c:ptCount val="4"/>
                <c:pt idx="0">
                  <c:v>1</c:v>
                </c:pt>
                <c:pt idx="1">
                  <c:v>2</c:v>
                </c:pt>
                <c:pt idx="2">
                  <c:v>3</c:v>
                </c:pt>
                <c:pt idx="3">
                  <c:v>4</c:v>
                </c:pt>
              </c:strCache>
            </c:strRef>
          </c:cat>
          <c:val>
            <c:numRef>
              <c:f>'Pivot Tables'!$I$21:$I$25</c:f>
              <c:numCache>
                <c:formatCode>General</c:formatCode>
                <c:ptCount val="4"/>
                <c:pt idx="0">
                  <c:v>25</c:v>
                </c:pt>
                <c:pt idx="1">
                  <c:v>58</c:v>
                </c:pt>
                <c:pt idx="2">
                  <c:v>127</c:v>
                </c:pt>
                <c:pt idx="3">
                  <c:v>27</c:v>
                </c:pt>
              </c:numCache>
            </c:numRef>
          </c:val>
          <c:extLst>
            <c:ext xmlns:c16="http://schemas.microsoft.com/office/drawing/2014/chart" uri="{C3380CC4-5D6E-409C-BE32-E72D297353CC}">
              <c16:uniqueId val="{00000001-8E61-4CE4-9F33-D8C9DECAEFC4}"/>
            </c:ext>
          </c:extLst>
        </c:ser>
        <c:dLbls>
          <c:showLegendKey val="0"/>
          <c:showVal val="0"/>
          <c:showCatName val="0"/>
          <c:showSerName val="0"/>
          <c:showPercent val="0"/>
          <c:showBubbleSize val="0"/>
        </c:dLbls>
        <c:gapWidth val="219"/>
        <c:overlap val="-27"/>
        <c:axId val="1452169888"/>
        <c:axId val="1269604943"/>
      </c:barChart>
      <c:catAx>
        <c:axId val="1452169888"/>
        <c:scaling>
          <c:orientation val="minMax"/>
        </c:scaling>
        <c:delete val="0"/>
        <c:axPos val="b"/>
        <c:numFmt formatCode="General" sourceLinked="1"/>
        <c:majorTickMark val="none"/>
        <c:minorTickMark val="none"/>
        <c:tickLblPos val="nextTo"/>
        <c:spPr>
          <a:noFill/>
          <a:ln w="9525" cap="flat" cmpd="sng" algn="ctr">
            <a:solidFill>
              <a:srgbClr val="AAB7C4"/>
            </a:solidFill>
            <a:prstDash val="solid"/>
            <a:roun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269604943"/>
        <c:crosses val="autoZero"/>
        <c:auto val="1"/>
        <c:lblAlgn val="ctr"/>
        <c:lblOffset val="100"/>
        <c:noMultiLvlLbl val="0"/>
      </c:catAx>
      <c:valAx>
        <c:axId val="1269604943"/>
        <c:scaling>
          <c:orientation val="minMax"/>
        </c:scaling>
        <c:delete val="0"/>
        <c:axPos val="l"/>
        <c:majorGridlines>
          <c:spPr>
            <a:ln w="9525" cap="flat" cmpd="sng" algn="ctr">
              <a:solidFill>
                <a:srgbClr val="E3E9EF"/>
              </a:solidFill>
              <a:prstDash val="solid"/>
              <a:round/>
            </a:ln>
            <a:effectLst/>
          </c:spPr>
        </c:majorGridlines>
        <c:numFmt formatCode="#,##0" sourceLinked="0"/>
        <c:majorTickMark val="none"/>
        <c:minorTickMark val="none"/>
        <c:tickLblPos val="nextTo"/>
        <c:spPr>
          <a:noFill/>
          <a:ln>
            <a:solidFill>
              <a:srgbClr val="AAB7C4"/>
            </a:solidFill>
            <a:prstDash val="soli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452169888"/>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2677D"/>
              </a:solidFill>
              <a:latin typeface="Aptos"/>
              <a:ea typeface="Aptos"/>
              <a:cs typeface="Apto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Employee Attrition.xlsx]Pivot Tables!PivotTable6</c:name>
    <c:fmtId val="2"/>
  </c:pivotSource>
  <c:chart>
    <c:title>
      <c:tx>
        <c:rich>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r>
              <a:rPr lang="en-US"/>
              <a:t>Employee Status by Overtime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7324D"/>
              </a:solidFill>
              <a:latin typeface="Aptos Display"/>
              <a:ea typeface="Aptos Display"/>
              <a:cs typeface="Aptos Display"/>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Tables'!$H$27:$H$28</c:f>
              <c:strCache>
                <c:ptCount val="1"/>
                <c:pt idx="0">
                  <c:v>Stayed</c:v>
                </c:pt>
              </c:strCache>
            </c:strRef>
          </c:tx>
          <c:spPr>
            <a:solidFill>
              <a:schemeClr val="accent1"/>
            </a:solidFill>
            <a:ln>
              <a:noFill/>
            </a:ln>
            <a:effectLst/>
          </c:spPr>
          <c:invertIfNegative val="0"/>
          <c:cat>
            <c:strRef>
              <c:f>'Pivot Tables'!$G$29:$G$31</c:f>
              <c:strCache>
                <c:ptCount val="2"/>
                <c:pt idx="0">
                  <c:v>No Overtime</c:v>
                </c:pt>
                <c:pt idx="1">
                  <c:v>Overtime</c:v>
                </c:pt>
              </c:strCache>
            </c:strRef>
          </c:cat>
          <c:val>
            <c:numRef>
              <c:f>'Pivot Tables'!$H$29:$H$31</c:f>
              <c:numCache>
                <c:formatCode>General</c:formatCode>
                <c:ptCount val="2"/>
                <c:pt idx="0">
                  <c:v>944</c:v>
                </c:pt>
                <c:pt idx="1">
                  <c:v>289</c:v>
                </c:pt>
              </c:numCache>
            </c:numRef>
          </c:val>
          <c:extLst>
            <c:ext xmlns:c16="http://schemas.microsoft.com/office/drawing/2014/chart" uri="{C3380CC4-5D6E-409C-BE32-E72D297353CC}">
              <c16:uniqueId val="{00000000-C863-46A6-B3EB-CB2BC0B479C5}"/>
            </c:ext>
          </c:extLst>
        </c:ser>
        <c:ser>
          <c:idx val="1"/>
          <c:order val="1"/>
          <c:tx>
            <c:strRef>
              <c:f>'Pivot Tables'!$I$27:$I$28</c:f>
              <c:strCache>
                <c:ptCount val="1"/>
                <c:pt idx="0">
                  <c:v>Quit</c:v>
                </c:pt>
              </c:strCache>
            </c:strRef>
          </c:tx>
          <c:spPr>
            <a:solidFill>
              <a:schemeClr val="accent2"/>
            </a:solidFill>
            <a:ln>
              <a:noFill/>
            </a:ln>
            <a:effectLst/>
          </c:spPr>
          <c:invertIfNegative val="0"/>
          <c:cat>
            <c:strRef>
              <c:f>'Pivot Tables'!$G$29:$G$31</c:f>
              <c:strCache>
                <c:ptCount val="2"/>
                <c:pt idx="0">
                  <c:v>No Overtime</c:v>
                </c:pt>
                <c:pt idx="1">
                  <c:v>Overtime</c:v>
                </c:pt>
              </c:strCache>
            </c:strRef>
          </c:cat>
          <c:val>
            <c:numRef>
              <c:f>'Pivot Tables'!$I$29:$I$31</c:f>
              <c:numCache>
                <c:formatCode>General</c:formatCode>
                <c:ptCount val="2"/>
                <c:pt idx="0">
                  <c:v>110</c:v>
                </c:pt>
                <c:pt idx="1">
                  <c:v>127</c:v>
                </c:pt>
              </c:numCache>
            </c:numRef>
          </c:val>
          <c:extLst>
            <c:ext xmlns:c16="http://schemas.microsoft.com/office/drawing/2014/chart" uri="{C3380CC4-5D6E-409C-BE32-E72D297353CC}">
              <c16:uniqueId val="{00000001-C863-46A6-B3EB-CB2BC0B479C5}"/>
            </c:ext>
          </c:extLst>
        </c:ser>
        <c:dLbls>
          <c:showLegendKey val="0"/>
          <c:showVal val="0"/>
          <c:showCatName val="0"/>
          <c:showSerName val="0"/>
          <c:showPercent val="0"/>
          <c:showBubbleSize val="0"/>
        </c:dLbls>
        <c:gapWidth val="219"/>
        <c:overlap val="-27"/>
        <c:axId val="1452204224"/>
        <c:axId val="1269595823"/>
      </c:barChart>
      <c:catAx>
        <c:axId val="1452204224"/>
        <c:scaling>
          <c:orientation val="minMax"/>
        </c:scaling>
        <c:delete val="0"/>
        <c:axPos val="b"/>
        <c:numFmt formatCode="General" sourceLinked="1"/>
        <c:majorTickMark val="none"/>
        <c:minorTickMark val="none"/>
        <c:tickLblPos val="nextTo"/>
        <c:spPr>
          <a:noFill/>
          <a:ln w="9525" cap="flat" cmpd="sng" algn="ctr">
            <a:solidFill>
              <a:srgbClr val="AAB7C4"/>
            </a:solidFill>
            <a:prstDash val="solid"/>
            <a:roun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269595823"/>
        <c:crosses val="autoZero"/>
        <c:auto val="1"/>
        <c:lblAlgn val="ctr"/>
        <c:lblOffset val="100"/>
        <c:noMultiLvlLbl val="0"/>
      </c:catAx>
      <c:valAx>
        <c:axId val="1269595823"/>
        <c:scaling>
          <c:orientation val="minMax"/>
        </c:scaling>
        <c:delete val="0"/>
        <c:axPos val="l"/>
        <c:majorGridlines>
          <c:spPr>
            <a:ln w="9525" cap="flat" cmpd="sng" algn="ctr">
              <a:solidFill>
                <a:srgbClr val="E3E9EF"/>
              </a:solidFill>
              <a:prstDash val="solid"/>
              <a:round/>
            </a:ln>
            <a:effectLst/>
          </c:spPr>
        </c:majorGridlines>
        <c:numFmt formatCode="#,##0" sourceLinked="0"/>
        <c:majorTickMark val="none"/>
        <c:minorTickMark val="none"/>
        <c:tickLblPos val="nextTo"/>
        <c:spPr>
          <a:noFill/>
          <a:ln>
            <a:solidFill>
              <a:srgbClr val="AAB7C4"/>
            </a:solidFill>
            <a:prstDash val="solid"/>
          </a:ln>
          <a:effectLst/>
        </c:spPr>
        <c:txPr>
          <a:bodyPr rot="-60000000" spcFirstLastPara="1" vertOverflow="ellipsis" vert="horz" wrap="square" anchor="ctr" anchorCtr="1"/>
          <a:lstStyle/>
          <a:p>
            <a:pPr>
              <a:defRPr sz="800" b="0" i="0" u="none" strike="noStrike" kern="1200" baseline="0">
                <a:solidFill>
                  <a:srgbClr val="52677D"/>
                </a:solidFill>
                <a:latin typeface="Aptos"/>
                <a:ea typeface="Aptos"/>
                <a:cs typeface="Aptos"/>
              </a:defRPr>
            </a:pPr>
            <a:endParaRPr lang="en-US"/>
          </a:p>
        </c:txPr>
        <c:crossAx val="1452204224"/>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52677D"/>
              </a:solidFill>
              <a:latin typeface="Aptos"/>
              <a:ea typeface="Aptos"/>
              <a:cs typeface="Apto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5</xdr:col>
      <xdr:colOff>336550</xdr:colOff>
      <xdr:row>31</xdr:row>
      <xdr:rowOff>139700</xdr:rowOff>
    </xdr:from>
    <xdr:to>
      <xdr:col>10</xdr:col>
      <xdr:colOff>228600</xdr:colOff>
      <xdr:row>46</xdr:row>
      <xdr:rowOff>120650</xdr:rowOff>
    </xdr:to>
    <xdr:graphicFrame macro="">
      <xdr:nvGraphicFramePr>
        <xdr:cNvPr id="2" name="Chart 1">
          <a:extLst>
            <a:ext uri="{FF2B5EF4-FFF2-40B4-BE49-F238E27FC236}">
              <a16:creationId xmlns:a16="http://schemas.microsoft.com/office/drawing/2014/main" id="{B823DC73-0642-1BA6-7124-5566FEE9E7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596900</xdr:colOff>
      <xdr:row>47</xdr:row>
      <xdr:rowOff>133350</xdr:rowOff>
    </xdr:from>
    <xdr:to>
      <xdr:col>11</xdr:col>
      <xdr:colOff>215900</xdr:colOff>
      <xdr:row>65</xdr:row>
      <xdr:rowOff>133350</xdr:rowOff>
    </xdr:to>
    <xdr:graphicFrame macro="">
      <xdr:nvGraphicFramePr>
        <xdr:cNvPr id="3" name="Chart 2">
          <a:extLst>
            <a:ext uri="{FF2B5EF4-FFF2-40B4-BE49-F238E27FC236}">
              <a16:creationId xmlns:a16="http://schemas.microsoft.com/office/drawing/2014/main" id="{04BBD2F2-52ED-3CE6-F8F3-0E6A2F5F1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88900</xdr:colOff>
      <xdr:row>55</xdr:row>
      <xdr:rowOff>171450</xdr:rowOff>
    </xdr:from>
    <xdr:to>
      <xdr:col>12</xdr:col>
      <xdr:colOff>222250</xdr:colOff>
      <xdr:row>75</xdr:row>
      <xdr:rowOff>50800</xdr:rowOff>
    </xdr:to>
    <xdr:graphicFrame macro="">
      <xdr:nvGraphicFramePr>
        <xdr:cNvPr id="4" name="Chart 3">
          <a:extLst>
            <a:ext uri="{FF2B5EF4-FFF2-40B4-BE49-F238E27FC236}">
              <a16:creationId xmlns:a16="http://schemas.microsoft.com/office/drawing/2014/main" id="{F893AFC6-83A5-5B3D-B861-47EBE508A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187324</xdr:colOff>
      <xdr:row>53</xdr:row>
      <xdr:rowOff>152400</xdr:rowOff>
    </xdr:from>
    <xdr:to>
      <xdr:col>10</xdr:col>
      <xdr:colOff>304799</xdr:colOff>
      <xdr:row>68</xdr:row>
      <xdr:rowOff>133350</xdr:rowOff>
    </xdr:to>
    <xdr:graphicFrame macro="">
      <xdr:nvGraphicFramePr>
        <xdr:cNvPr id="5" name="Chart 4">
          <a:extLst>
            <a:ext uri="{FF2B5EF4-FFF2-40B4-BE49-F238E27FC236}">
              <a16:creationId xmlns:a16="http://schemas.microsoft.com/office/drawing/2014/main" id="{8E822772-D822-9B10-87C1-219279FCB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377825</xdr:colOff>
      <xdr:row>55</xdr:row>
      <xdr:rowOff>50800</xdr:rowOff>
    </xdr:from>
    <xdr:to>
      <xdr:col>10</xdr:col>
      <xdr:colOff>269875</xdr:colOff>
      <xdr:row>70</xdr:row>
      <xdr:rowOff>31750</xdr:rowOff>
    </xdr:to>
    <xdr:graphicFrame macro="">
      <xdr:nvGraphicFramePr>
        <xdr:cNvPr id="6" name="Chart 5">
          <a:extLst>
            <a:ext uri="{FF2B5EF4-FFF2-40B4-BE49-F238E27FC236}">
              <a16:creationId xmlns:a16="http://schemas.microsoft.com/office/drawing/2014/main" id="{AA3D1EBB-2F21-4292-AEF4-743D5ACB0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320675</xdr:colOff>
      <xdr:row>57</xdr:row>
      <xdr:rowOff>50800</xdr:rowOff>
    </xdr:from>
    <xdr:to>
      <xdr:col>10</xdr:col>
      <xdr:colOff>212725</xdr:colOff>
      <xdr:row>72</xdr:row>
      <xdr:rowOff>31750</xdr:rowOff>
    </xdr:to>
    <xdr:graphicFrame macro="">
      <xdr:nvGraphicFramePr>
        <xdr:cNvPr id="7" name="Chart 6">
          <a:extLst>
            <a:ext uri="{FF2B5EF4-FFF2-40B4-BE49-F238E27FC236}">
              <a16:creationId xmlns:a16="http://schemas.microsoft.com/office/drawing/2014/main" id="{BC067F9B-85D9-1D88-B304-2A4271D8F5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485775</xdr:colOff>
      <xdr:row>60</xdr:row>
      <xdr:rowOff>6350</xdr:rowOff>
    </xdr:from>
    <xdr:to>
      <xdr:col>10</xdr:col>
      <xdr:colOff>923925</xdr:colOff>
      <xdr:row>74</xdr:row>
      <xdr:rowOff>171450</xdr:rowOff>
    </xdr:to>
    <xdr:graphicFrame macro="">
      <xdr:nvGraphicFramePr>
        <xdr:cNvPr id="8" name="Chart 7">
          <a:extLst>
            <a:ext uri="{FF2B5EF4-FFF2-40B4-BE49-F238E27FC236}">
              <a16:creationId xmlns:a16="http://schemas.microsoft.com/office/drawing/2014/main" id="{E72EA2B6-70B1-8AF9-298B-EB1D426D3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0</xdr:rowOff>
    </xdr:from>
    <xdr:to>
      <xdr:col>10</xdr:col>
      <xdr:colOff>0</xdr:colOff>
      <xdr:row>31</xdr:row>
      <xdr:rowOff>0</xdr:rowOff>
    </xdr:to>
    <xdr:graphicFrame macro="">
      <xdr:nvGraphicFramePr>
        <xdr:cNvPr id="2" name="HR Dashboard Chart 1">
          <a:extLst>
            <a:ext uri="{FF2B5EF4-FFF2-40B4-BE49-F238E27FC236}">
              <a16:creationId xmlns:a16="http://schemas.microsoft.com/office/drawing/2014/main" id="{E4D1020B-4700-4118-B5C0-AAA530CC96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16</xdr:row>
      <xdr:rowOff>0</xdr:rowOff>
    </xdr:from>
    <xdr:to>
      <xdr:col>20</xdr:col>
      <xdr:colOff>0</xdr:colOff>
      <xdr:row>31</xdr:row>
      <xdr:rowOff>0</xdr:rowOff>
    </xdr:to>
    <xdr:graphicFrame macro="">
      <xdr:nvGraphicFramePr>
        <xdr:cNvPr id="4" name="HR Dashboard Chart 2">
          <a:extLst>
            <a:ext uri="{FF2B5EF4-FFF2-40B4-BE49-F238E27FC236}">
              <a16:creationId xmlns:a16="http://schemas.microsoft.com/office/drawing/2014/main" id="{A308C581-4372-4237-AB6C-9A99E841F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32</xdr:row>
      <xdr:rowOff>0</xdr:rowOff>
    </xdr:from>
    <xdr:to>
      <xdr:col>10</xdr:col>
      <xdr:colOff>0</xdr:colOff>
      <xdr:row>47</xdr:row>
      <xdr:rowOff>0</xdr:rowOff>
    </xdr:to>
    <xdr:graphicFrame macro="">
      <xdr:nvGraphicFramePr>
        <xdr:cNvPr id="6" name="HR Dashboard Chart 3">
          <a:extLst>
            <a:ext uri="{FF2B5EF4-FFF2-40B4-BE49-F238E27FC236}">
              <a16:creationId xmlns:a16="http://schemas.microsoft.com/office/drawing/2014/main" id="{E18C8A1D-F2D2-4CC3-A606-B240FA2B6C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685799</xdr:colOff>
      <xdr:row>32</xdr:row>
      <xdr:rowOff>0</xdr:rowOff>
    </xdr:from>
    <xdr:to>
      <xdr:col>19</xdr:col>
      <xdr:colOff>685799</xdr:colOff>
      <xdr:row>47</xdr:row>
      <xdr:rowOff>0</xdr:rowOff>
    </xdr:to>
    <xdr:graphicFrame macro="">
      <xdr:nvGraphicFramePr>
        <xdr:cNvPr id="8" name="HR Dashboard Chart 4">
          <a:extLst>
            <a:ext uri="{FF2B5EF4-FFF2-40B4-BE49-F238E27FC236}">
              <a16:creationId xmlns:a16="http://schemas.microsoft.com/office/drawing/2014/main" id="{83CEAC04-D5A5-496E-8AAA-DB5051A11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48</xdr:row>
      <xdr:rowOff>0</xdr:rowOff>
    </xdr:from>
    <xdr:to>
      <xdr:col>10</xdr:col>
      <xdr:colOff>0</xdr:colOff>
      <xdr:row>63</xdr:row>
      <xdr:rowOff>0</xdr:rowOff>
    </xdr:to>
    <xdr:graphicFrame macro="">
      <xdr:nvGraphicFramePr>
        <xdr:cNvPr id="10" name="HR Dashboard Chart 5">
          <a:extLst>
            <a:ext uri="{FF2B5EF4-FFF2-40B4-BE49-F238E27FC236}">
              <a16:creationId xmlns:a16="http://schemas.microsoft.com/office/drawing/2014/main" id="{360FD099-A696-42CE-A28A-BCD69C5C4A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48</xdr:row>
      <xdr:rowOff>0</xdr:rowOff>
    </xdr:from>
    <xdr:to>
      <xdr:col>20</xdr:col>
      <xdr:colOff>0</xdr:colOff>
      <xdr:row>63</xdr:row>
      <xdr:rowOff>0</xdr:rowOff>
    </xdr:to>
    <xdr:graphicFrame macro="">
      <xdr:nvGraphicFramePr>
        <xdr:cNvPr id="12" name="HR Dashboard Chart 6">
          <a:extLst>
            <a:ext uri="{FF2B5EF4-FFF2-40B4-BE49-F238E27FC236}">
              <a16:creationId xmlns:a16="http://schemas.microsoft.com/office/drawing/2014/main" id="{519D8ED9-FD38-4AE1-916B-E8F1736661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64</xdr:row>
      <xdr:rowOff>0</xdr:rowOff>
    </xdr:from>
    <xdr:to>
      <xdr:col>20</xdr:col>
      <xdr:colOff>0</xdr:colOff>
      <xdr:row>82</xdr:row>
      <xdr:rowOff>0</xdr:rowOff>
    </xdr:to>
    <xdr:graphicFrame macro="">
      <xdr:nvGraphicFramePr>
        <xdr:cNvPr id="14" name="HR Dashboard Chart 7">
          <a:extLst>
            <a:ext uri="{FF2B5EF4-FFF2-40B4-BE49-F238E27FC236}">
              <a16:creationId xmlns:a16="http://schemas.microsoft.com/office/drawing/2014/main" id="{4FF5975C-D5B1-4B15-82FC-DF42056E85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38100</xdr:colOff>
      <xdr:row>8</xdr:row>
      <xdr:rowOff>38100</xdr:rowOff>
    </xdr:from>
    <xdr:to>
      <xdr:col>4</xdr:col>
      <xdr:colOff>647700</xdr:colOff>
      <xdr:row>14</xdr:row>
      <xdr:rowOff>241300</xdr:rowOff>
    </xdr:to>
    <mc:AlternateContent xmlns:mc="http://schemas.openxmlformats.org/markup-compatibility/2006">
      <mc:Choice xmlns:a14="http://schemas.microsoft.com/office/drawing/2010/main" Requires="a14">
        <xdr:graphicFrame macro="">
          <xdr:nvGraphicFramePr>
            <xdr:cNvPr id="16" name="Dashboard Department">
              <a:extLst>
                <a:ext uri="{FF2B5EF4-FFF2-40B4-BE49-F238E27FC236}">
                  <a16:creationId xmlns:a16="http://schemas.microsoft.com/office/drawing/2014/main" id="{084646BD-0021-2099-2691-91633CB91C56}"/>
                </a:ext>
              </a:extLst>
            </xdr:cNvPr>
            <xdr:cNvGraphicFramePr/>
          </xdr:nvGraphicFramePr>
          <xdr:xfrm>
            <a:off x="0" y="0"/>
            <a:ext cx="0" cy="0"/>
          </xdr:xfrm>
          <a:graphic>
            <a:graphicData uri="http://schemas.microsoft.com/office/drawing/2010/slicer">
              <sle:slicer xmlns:sle="http://schemas.microsoft.com/office/drawing/2010/slicer" name="Dashboard Department"/>
            </a:graphicData>
          </a:graphic>
        </xdr:graphicFrame>
      </mc:Choice>
      <mc:Fallback>
        <xdr:sp macro="" textlink="">
          <xdr:nvSpPr>
            <xdr:cNvPr id="0" name=""/>
            <xdr:cNvSpPr>
              <a:spLocks noTextEdit="1"/>
            </xdr:cNvSpPr>
          </xdr:nvSpPr>
          <xdr:spPr>
            <a:xfrm>
              <a:off x="38100" y="2273300"/>
              <a:ext cx="3352800" cy="1879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38100</xdr:colOff>
      <xdr:row>8</xdr:row>
      <xdr:rowOff>38100</xdr:rowOff>
    </xdr:from>
    <xdr:to>
      <xdr:col>9</xdr:col>
      <xdr:colOff>647700</xdr:colOff>
      <xdr:row>14</xdr:row>
      <xdr:rowOff>241300</xdr:rowOff>
    </xdr:to>
    <mc:AlternateContent xmlns:mc="http://schemas.openxmlformats.org/markup-compatibility/2006">
      <mc:Choice xmlns:a14="http://schemas.microsoft.com/office/drawing/2010/main" Requires="a14">
        <xdr:graphicFrame macro="">
          <xdr:nvGraphicFramePr>
            <xdr:cNvPr id="17" name="Dashboard Job Role">
              <a:extLst>
                <a:ext uri="{FF2B5EF4-FFF2-40B4-BE49-F238E27FC236}">
                  <a16:creationId xmlns:a16="http://schemas.microsoft.com/office/drawing/2014/main" id="{53742F93-D1A0-FB35-5141-66E95C1C7EAE}"/>
                </a:ext>
              </a:extLst>
            </xdr:cNvPr>
            <xdr:cNvGraphicFramePr/>
          </xdr:nvGraphicFramePr>
          <xdr:xfrm>
            <a:off x="0" y="0"/>
            <a:ext cx="0" cy="0"/>
          </xdr:xfrm>
          <a:graphic>
            <a:graphicData uri="http://schemas.microsoft.com/office/drawing/2010/slicer">
              <sle:slicer xmlns:sle="http://schemas.microsoft.com/office/drawing/2010/slicer" name="Dashboard Job Role"/>
            </a:graphicData>
          </a:graphic>
        </xdr:graphicFrame>
      </mc:Choice>
      <mc:Fallback>
        <xdr:sp macro="" textlink="">
          <xdr:nvSpPr>
            <xdr:cNvPr id="0" name=""/>
            <xdr:cNvSpPr>
              <a:spLocks noTextEdit="1"/>
            </xdr:cNvSpPr>
          </xdr:nvSpPr>
          <xdr:spPr>
            <a:xfrm>
              <a:off x="3467100" y="2273300"/>
              <a:ext cx="3352800" cy="1879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8</xdr:row>
      <xdr:rowOff>38100</xdr:rowOff>
    </xdr:from>
    <xdr:to>
      <xdr:col>14</xdr:col>
      <xdr:colOff>647700</xdr:colOff>
      <xdr:row>14</xdr:row>
      <xdr:rowOff>241300</xdr:rowOff>
    </xdr:to>
    <mc:AlternateContent xmlns:mc="http://schemas.openxmlformats.org/markup-compatibility/2006">
      <mc:Choice xmlns:a14="http://schemas.microsoft.com/office/drawing/2010/main" Requires="a14">
        <xdr:graphicFrame macro="">
          <xdr:nvGraphicFramePr>
            <xdr:cNvPr id="18" name="Dashboard Job Satisfaction">
              <a:extLst>
                <a:ext uri="{FF2B5EF4-FFF2-40B4-BE49-F238E27FC236}">
                  <a16:creationId xmlns:a16="http://schemas.microsoft.com/office/drawing/2014/main" id="{147ED7D5-EE11-D26E-1862-A87F0EA71CD3}"/>
                </a:ext>
              </a:extLst>
            </xdr:cNvPr>
            <xdr:cNvGraphicFramePr/>
          </xdr:nvGraphicFramePr>
          <xdr:xfrm>
            <a:off x="0" y="0"/>
            <a:ext cx="0" cy="0"/>
          </xdr:xfrm>
          <a:graphic>
            <a:graphicData uri="http://schemas.microsoft.com/office/drawing/2010/slicer">
              <sle:slicer xmlns:sle="http://schemas.microsoft.com/office/drawing/2010/slicer" name="Dashboard Job Satisfaction"/>
            </a:graphicData>
          </a:graphic>
        </xdr:graphicFrame>
      </mc:Choice>
      <mc:Fallback>
        <xdr:sp macro="" textlink="">
          <xdr:nvSpPr>
            <xdr:cNvPr id="0" name=""/>
            <xdr:cNvSpPr>
              <a:spLocks noTextEdit="1"/>
            </xdr:cNvSpPr>
          </xdr:nvSpPr>
          <xdr:spPr>
            <a:xfrm>
              <a:off x="6896100" y="2273300"/>
              <a:ext cx="3352800" cy="1879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xdr:colOff>
      <xdr:row>8</xdr:row>
      <xdr:rowOff>38100</xdr:rowOff>
    </xdr:from>
    <xdr:to>
      <xdr:col>19</xdr:col>
      <xdr:colOff>647700</xdr:colOff>
      <xdr:row>14</xdr:row>
      <xdr:rowOff>241300</xdr:rowOff>
    </xdr:to>
    <mc:AlternateContent xmlns:mc="http://schemas.openxmlformats.org/markup-compatibility/2006">
      <mc:Choice xmlns:a14="http://schemas.microsoft.com/office/drawing/2010/main" Requires="a14">
        <xdr:graphicFrame macro="">
          <xdr:nvGraphicFramePr>
            <xdr:cNvPr id="19" name="Dashboard Overtime">
              <a:extLst>
                <a:ext uri="{FF2B5EF4-FFF2-40B4-BE49-F238E27FC236}">
                  <a16:creationId xmlns:a16="http://schemas.microsoft.com/office/drawing/2014/main" id="{3692625C-9BF2-1096-4462-7547A42D1C6C}"/>
                </a:ext>
              </a:extLst>
            </xdr:cNvPr>
            <xdr:cNvGraphicFramePr/>
          </xdr:nvGraphicFramePr>
          <xdr:xfrm>
            <a:off x="0" y="0"/>
            <a:ext cx="0" cy="0"/>
          </xdr:xfrm>
          <a:graphic>
            <a:graphicData uri="http://schemas.microsoft.com/office/drawing/2010/slicer">
              <sle:slicer xmlns:sle="http://schemas.microsoft.com/office/drawing/2010/slicer" name="Dashboard Overtime"/>
            </a:graphicData>
          </a:graphic>
        </xdr:graphicFrame>
      </mc:Choice>
      <mc:Fallback>
        <xdr:sp macro="" textlink="">
          <xdr:nvSpPr>
            <xdr:cNvPr id="0" name=""/>
            <xdr:cNvSpPr>
              <a:spLocks noTextEdit="1"/>
            </xdr:cNvSpPr>
          </xdr:nvSpPr>
          <xdr:spPr>
            <a:xfrm>
              <a:off x="10325100" y="2273300"/>
              <a:ext cx="3352800" cy="1879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esewa oladapo" refreshedDate="46288.711289120372" createdVersion="8" refreshedVersion="8" minRefreshableVersion="3" recordCount="1470" xr:uid="{496DEBB6-A38E-4414-9752-E8FD61B217A3}">
  <cacheSource type="worksheet">
    <worksheetSource ref="A1:AI1471" sheet="WA_Fn-UseC_-HR-Employee-Attriti"/>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716273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1"/>
    <x v="0"/>
    <s v="Female"/>
    <n v="94"/>
    <n v="3"/>
    <n v="2"/>
    <x v="0"/>
    <x v="0"/>
    <s v="Single"/>
    <n v="5993"/>
    <n v="19479"/>
    <n v="8"/>
    <s v="Y"/>
    <x v="0"/>
    <n v="11"/>
    <n v="3"/>
    <n v="1"/>
    <n v="80"/>
    <n v="0"/>
    <n v="8"/>
    <n v="0"/>
    <x v="0"/>
    <x v="0"/>
    <n v="4"/>
    <n v="0"/>
    <n v="5"/>
  </r>
  <r>
    <n v="49"/>
    <x v="1"/>
    <s v="Travel_Frequently"/>
    <n v="279"/>
    <x v="1"/>
    <n v="8"/>
    <n v="1"/>
    <s v="Life Sciences"/>
    <n v="1"/>
    <n v="2"/>
    <x v="1"/>
    <s v="Male"/>
    <n v="61"/>
    <n v="2"/>
    <n v="2"/>
    <x v="1"/>
    <x v="1"/>
    <s v="Married"/>
    <n v="5130"/>
    <n v="24907"/>
    <n v="1"/>
    <s v="Y"/>
    <x v="1"/>
    <n v="23"/>
    <n v="4"/>
    <n v="4"/>
    <n v="80"/>
    <n v="1"/>
    <n v="10"/>
    <n v="3"/>
    <x v="1"/>
    <x v="1"/>
    <n v="7"/>
    <n v="1"/>
    <n v="7"/>
  </r>
  <r>
    <n v="37"/>
    <x v="0"/>
    <s v="Travel_Rarely"/>
    <n v="1373"/>
    <x v="1"/>
    <n v="2"/>
    <n v="2"/>
    <s v="Other"/>
    <n v="1"/>
    <n v="4"/>
    <x v="2"/>
    <s v="Male"/>
    <n v="92"/>
    <n v="2"/>
    <n v="1"/>
    <x v="2"/>
    <x v="2"/>
    <s v="Single"/>
    <n v="2090"/>
    <n v="2396"/>
    <n v="6"/>
    <s v="Y"/>
    <x v="0"/>
    <n v="15"/>
    <n v="3"/>
    <n v="2"/>
    <n v="80"/>
    <n v="0"/>
    <n v="7"/>
    <n v="3"/>
    <x v="1"/>
    <x v="2"/>
    <n v="0"/>
    <n v="0"/>
    <n v="0"/>
  </r>
  <r>
    <n v="33"/>
    <x v="1"/>
    <s v="Travel_Frequently"/>
    <n v="1392"/>
    <x v="1"/>
    <n v="3"/>
    <n v="4"/>
    <s v="Life Sciences"/>
    <n v="1"/>
    <n v="5"/>
    <x v="2"/>
    <s v="Female"/>
    <n v="56"/>
    <n v="3"/>
    <n v="1"/>
    <x v="1"/>
    <x v="2"/>
    <s v="Married"/>
    <n v="2909"/>
    <n v="23159"/>
    <n v="1"/>
    <s v="Y"/>
    <x v="0"/>
    <n v="11"/>
    <n v="3"/>
    <n v="3"/>
    <n v="80"/>
    <n v="0"/>
    <n v="8"/>
    <n v="3"/>
    <x v="1"/>
    <x v="3"/>
    <n v="7"/>
    <n v="3"/>
    <n v="0"/>
  </r>
  <r>
    <n v="27"/>
    <x v="1"/>
    <s v="Travel_Rarely"/>
    <n v="591"/>
    <x v="1"/>
    <n v="2"/>
    <n v="1"/>
    <s v="Medical"/>
    <n v="1"/>
    <n v="7"/>
    <x v="3"/>
    <s v="Male"/>
    <n v="40"/>
    <n v="3"/>
    <n v="1"/>
    <x v="2"/>
    <x v="1"/>
    <s v="Married"/>
    <n v="3468"/>
    <n v="16632"/>
    <n v="9"/>
    <s v="Y"/>
    <x v="1"/>
    <n v="12"/>
    <n v="3"/>
    <n v="4"/>
    <n v="80"/>
    <n v="1"/>
    <n v="6"/>
    <n v="3"/>
    <x v="1"/>
    <x v="4"/>
    <n v="2"/>
    <n v="2"/>
    <n v="2"/>
  </r>
  <r>
    <n v="32"/>
    <x v="1"/>
    <s v="Travel_Frequently"/>
    <n v="1005"/>
    <x v="1"/>
    <n v="2"/>
    <n v="2"/>
    <s v="Life Sciences"/>
    <n v="1"/>
    <n v="8"/>
    <x v="2"/>
    <s v="Male"/>
    <n v="79"/>
    <n v="3"/>
    <n v="1"/>
    <x v="2"/>
    <x v="0"/>
    <s v="Single"/>
    <n v="3068"/>
    <n v="11864"/>
    <n v="0"/>
    <s v="Y"/>
    <x v="1"/>
    <n v="13"/>
    <n v="3"/>
    <n v="3"/>
    <n v="80"/>
    <n v="0"/>
    <n v="8"/>
    <n v="2"/>
    <x v="2"/>
    <x v="5"/>
    <n v="7"/>
    <n v="3"/>
    <n v="6"/>
  </r>
  <r>
    <n v="59"/>
    <x v="1"/>
    <s v="Travel_Rarely"/>
    <n v="1324"/>
    <x v="1"/>
    <n v="3"/>
    <n v="3"/>
    <s v="Medical"/>
    <n v="1"/>
    <n v="10"/>
    <x v="1"/>
    <s v="Female"/>
    <n v="81"/>
    <n v="4"/>
    <n v="1"/>
    <x v="2"/>
    <x v="3"/>
    <s v="Married"/>
    <n v="2670"/>
    <n v="9964"/>
    <n v="4"/>
    <s v="Y"/>
    <x v="0"/>
    <n v="20"/>
    <n v="4"/>
    <n v="1"/>
    <n v="80"/>
    <n v="3"/>
    <n v="12"/>
    <n v="3"/>
    <x v="2"/>
    <x v="6"/>
    <n v="0"/>
    <n v="0"/>
    <n v="0"/>
  </r>
  <r>
    <n v="30"/>
    <x v="1"/>
    <s v="Travel_Rarely"/>
    <n v="1358"/>
    <x v="1"/>
    <n v="24"/>
    <n v="1"/>
    <s v="Life Sciences"/>
    <n v="1"/>
    <n v="11"/>
    <x v="2"/>
    <s v="Male"/>
    <n v="67"/>
    <n v="3"/>
    <n v="1"/>
    <x v="2"/>
    <x v="2"/>
    <s v="Divorced"/>
    <n v="2693"/>
    <n v="13335"/>
    <n v="1"/>
    <s v="Y"/>
    <x v="1"/>
    <n v="22"/>
    <n v="4"/>
    <n v="2"/>
    <n v="80"/>
    <n v="1"/>
    <n v="1"/>
    <n v="2"/>
    <x v="1"/>
    <x v="6"/>
    <n v="0"/>
    <n v="0"/>
    <n v="0"/>
  </r>
  <r>
    <n v="38"/>
    <x v="1"/>
    <s v="Travel_Frequently"/>
    <n v="216"/>
    <x v="1"/>
    <n v="23"/>
    <n v="3"/>
    <s v="Life Sciences"/>
    <n v="1"/>
    <n v="12"/>
    <x v="2"/>
    <s v="Male"/>
    <n v="44"/>
    <n v="2"/>
    <n v="3"/>
    <x v="3"/>
    <x v="2"/>
    <s v="Single"/>
    <n v="9526"/>
    <n v="8787"/>
    <n v="0"/>
    <s v="Y"/>
    <x v="1"/>
    <n v="21"/>
    <n v="4"/>
    <n v="2"/>
    <n v="80"/>
    <n v="0"/>
    <n v="10"/>
    <n v="2"/>
    <x v="1"/>
    <x v="7"/>
    <n v="7"/>
    <n v="1"/>
    <n v="8"/>
  </r>
  <r>
    <n v="36"/>
    <x v="1"/>
    <s v="Travel_Rarely"/>
    <n v="1299"/>
    <x v="1"/>
    <n v="27"/>
    <n v="3"/>
    <s v="Medical"/>
    <n v="1"/>
    <n v="13"/>
    <x v="1"/>
    <s v="Male"/>
    <n v="94"/>
    <n v="3"/>
    <n v="2"/>
    <x v="4"/>
    <x v="2"/>
    <s v="Married"/>
    <n v="5237"/>
    <n v="16577"/>
    <n v="6"/>
    <s v="Y"/>
    <x v="1"/>
    <n v="13"/>
    <n v="3"/>
    <n v="2"/>
    <n v="80"/>
    <n v="2"/>
    <n v="17"/>
    <n v="3"/>
    <x v="2"/>
    <x v="5"/>
    <n v="7"/>
    <n v="7"/>
    <n v="7"/>
  </r>
  <r>
    <n v="35"/>
    <x v="1"/>
    <s v="Travel_Rarely"/>
    <n v="809"/>
    <x v="1"/>
    <n v="16"/>
    <n v="3"/>
    <s v="Medical"/>
    <n v="1"/>
    <n v="14"/>
    <x v="3"/>
    <s v="Male"/>
    <n v="84"/>
    <n v="4"/>
    <n v="1"/>
    <x v="2"/>
    <x v="1"/>
    <s v="Married"/>
    <n v="2426"/>
    <n v="16479"/>
    <n v="0"/>
    <s v="Y"/>
    <x v="1"/>
    <n v="13"/>
    <n v="3"/>
    <n v="3"/>
    <n v="80"/>
    <n v="1"/>
    <n v="6"/>
    <n v="5"/>
    <x v="1"/>
    <x v="8"/>
    <n v="4"/>
    <n v="0"/>
    <n v="3"/>
  </r>
  <r>
    <n v="29"/>
    <x v="1"/>
    <s v="Travel_Rarely"/>
    <n v="153"/>
    <x v="1"/>
    <n v="15"/>
    <n v="2"/>
    <s v="Life Sciences"/>
    <n v="1"/>
    <n v="15"/>
    <x v="2"/>
    <s v="Female"/>
    <n v="49"/>
    <n v="2"/>
    <n v="2"/>
    <x v="2"/>
    <x v="2"/>
    <s v="Single"/>
    <n v="4193"/>
    <n v="12682"/>
    <n v="0"/>
    <s v="Y"/>
    <x v="0"/>
    <n v="12"/>
    <n v="3"/>
    <n v="4"/>
    <n v="80"/>
    <n v="0"/>
    <n v="10"/>
    <n v="3"/>
    <x v="1"/>
    <x v="7"/>
    <n v="5"/>
    <n v="0"/>
    <n v="8"/>
  </r>
  <r>
    <n v="31"/>
    <x v="1"/>
    <s v="Travel_Rarely"/>
    <n v="670"/>
    <x v="1"/>
    <n v="26"/>
    <n v="1"/>
    <s v="Life Sciences"/>
    <n v="1"/>
    <n v="16"/>
    <x v="3"/>
    <s v="Male"/>
    <n v="31"/>
    <n v="3"/>
    <n v="1"/>
    <x v="1"/>
    <x v="2"/>
    <s v="Divorced"/>
    <n v="2911"/>
    <n v="15170"/>
    <n v="1"/>
    <s v="Y"/>
    <x v="1"/>
    <n v="17"/>
    <n v="3"/>
    <n v="4"/>
    <n v="80"/>
    <n v="1"/>
    <n v="5"/>
    <n v="1"/>
    <x v="2"/>
    <x v="8"/>
    <n v="2"/>
    <n v="4"/>
    <n v="3"/>
  </r>
  <r>
    <n v="34"/>
    <x v="1"/>
    <s v="Travel_Rarely"/>
    <n v="1346"/>
    <x v="1"/>
    <n v="19"/>
    <n v="2"/>
    <s v="Medical"/>
    <n v="1"/>
    <n v="18"/>
    <x v="0"/>
    <s v="Male"/>
    <n v="93"/>
    <n v="3"/>
    <n v="1"/>
    <x v="2"/>
    <x v="0"/>
    <s v="Divorced"/>
    <n v="2661"/>
    <n v="8758"/>
    <n v="0"/>
    <s v="Y"/>
    <x v="1"/>
    <n v="11"/>
    <n v="3"/>
    <n v="3"/>
    <n v="80"/>
    <n v="1"/>
    <n v="3"/>
    <n v="2"/>
    <x v="1"/>
    <x v="4"/>
    <n v="2"/>
    <n v="1"/>
    <n v="2"/>
  </r>
  <r>
    <n v="28"/>
    <x v="0"/>
    <s v="Travel_Rarely"/>
    <n v="103"/>
    <x v="1"/>
    <n v="24"/>
    <n v="3"/>
    <s v="Life Sciences"/>
    <n v="1"/>
    <n v="19"/>
    <x v="1"/>
    <s v="Male"/>
    <n v="50"/>
    <n v="2"/>
    <n v="1"/>
    <x v="2"/>
    <x v="2"/>
    <s v="Single"/>
    <n v="2028"/>
    <n v="12947"/>
    <n v="5"/>
    <s v="Y"/>
    <x v="0"/>
    <n v="14"/>
    <n v="3"/>
    <n v="2"/>
    <n v="80"/>
    <n v="0"/>
    <n v="6"/>
    <n v="4"/>
    <x v="1"/>
    <x v="9"/>
    <n v="2"/>
    <n v="0"/>
    <n v="3"/>
  </r>
  <r>
    <n v="29"/>
    <x v="1"/>
    <s v="Travel_Rarely"/>
    <n v="1389"/>
    <x v="1"/>
    <n v="21"/>
    <n v="4"/>
    <s v="Life Sciences"/>
    <n v="1"/>
    <n v="20"/>
    <x v="0"/>
    <s v="Female"/>
    <n v="51"/>
    <n v="4"/>
    <n v="3"/>
    <x v="3"/>
    <x v="3"/>
    <s v="Divorced"/>
    <n v="9980"/>
    <n v="10195"/>
    <n v="1"/>
    <s v="Y"/>
    <x v="1"/>
    <n v="11"/>
    <n v="3"/>
    <n v="3"/>
    <n v="80"/>
    <n v="1"/>
    <n v="10"/>
    <n v="1"/>
    <x v="1"/>
    <x v="1"/>
    <n v="9"/>
    <n v="8"/>
    <n v="8"/>
  </r>
  <r>
    <n v="32"/>
    <x v="1"/>
    <s v="Travel_Rarely"/>
    <n v="334"/>
    <x v="1"/>
    <n v="5"/>
    <n v="2"/>
    <s v="Life Sciences"/>
    <n v="1"/>
    <n v="21"/>
    <x v="3"/>
    <s v="Male"/>
    <n v="80"/>
    <n v="4"/>
    <n v="1"/>
    <x v="1"/>
    <x v="1"/>
    <s v="Divorced"/>
    <n v="3298"/>
    <n v="15053"/>
    <n v="0"/>
    <s v="Y"/>
    <x v="0"/>
    <n v="12"/>
    <n v="3"/>
    <n v="4"/>
    <n v="80"/>
    <n v="2"/>
    <n v="7"/>
    <n v="5"/>
    <x v="2"/>
    <x v="0"/>
    <n v="2"/>
    <n v="0"/>
    <n v="5"/>
  </r>
  <r>
    <n v="22"/>
    <x v="1"/>
    <s v="Non-Travel"/>
    <n v="1123"/>
    <x v="1"/>
    <n v="16"/>
    <n v="2"/>
    <s v="Medical"/>
    <n v="1"/>
    <n v="22"/>
    <x v="2"/>
    <s v="Male"/>
    <n v="96"/>
    <n v="4"/>
    <n v="1"/>
    <x v="2"/>
    <x v="0"/>
    <s v="Divorced"/>
    <n v="2935"/>
    <n v="7324"/>
    <n v="1"/>
    <s v="Y"/>
    <x v="0"/>
    <n v="13"/>
    <n v="3"/>
    <n v="2"/>
    <n v="80"/>
    <n v="2"/>
    <n v="1"/>
    <n v="2"/>
    <x v="2"/>
    <x v="6"/>
    <n v="0"/>
    <n v="0"/>
    <n v="0"/>
  </r>
  <r>
    <n v="53"/>
    <x v="1"/>
    <s v="Travel_Rarely"/>
    <n v="1219"/>
    <x v="0"/>
    <n v="2"/>
    <n v="4"/>
    <s v="Life Sciences"/>
    <n v="1"/>
    <n v="23"/>
    <x v="3"/>
    <s v="Female"/>
    <n v="78"/>
    <n v="2"/>
    <n v="4"/>
    <x v="5"/>
    <x v="0"/>
    <s v="Married"/>
    <n v="15427"/>
    <n v="22021"/>
    <n v="2"/>
    <s v="Y"/>
    <x v="1"/>
    <n v="16"/>
    <n v="3"/>
    <n v="3"/>
    <n v="80"/>
    <n v="0"/>
    <n v="31"/>
    <n v="3"/>
    <x v="1"/>
    <x v="10"/>
    <n v="8"/>
    <n v="3"/>
    <n v="7"/>
  </r>
  <r>
    <n v="38"/>
    <x v="1"/>
    <s v="Travel_Rarely"/>
    <n v="371"/>
    <x v="1"/>
    <n v="2"/>
    <n v="3"/>
    <s v="Life Sciences"/>
    <n v="1"/>
    <n v="24"/>
    <x v="2"/>
    <s v="Male"/>
    <n v="45"/>
    <n v="3"/>
    <n v="1"/>
    <x v="1"/>
    <x v="0"/>
    <s v="Single"/>
    <n v="3944"/>
    <n v="4306"/>
    <n v="5"/>
    <s v="Y"/>
    <x v="0"/>
    <n v="11"/>
    <n v="3"/>
    <n v="3"/>
    <n v="80"/>
    <n v="0"/>
    <n v="6"/>
    <n v="3"/>
    <x v="1"/>
    <x v="11"/>
    <n v="2"/>
    <n v="1"/>
    <n v="2"/>
  </r>
  <r>
    <n v="24"/>
    <x v="1"/>
    <s v="Non-Travel"/>
    <n v="673"/>
    <x v="1"/>
    <n v="11"/>
    <n v="2"/>
    <s v="Other"/>
    <n v="1"/>
    <n v="26"/>
    <x v="3"/>
    <s v="Female"/>
    <n v="96"/>
    <n v="4"/>
    <n v="2"/>
    <x v="3"/>
    <x v="2"/>
    <s v="Divorced"/>
    <n v="4011"/>
    <n v="8232"/>
    <n v="0"/>
    <s v="Y"/>
    <x v="1"/>
    <n v="18"/>
    <n v="3"/>
    <n v="4"/>
    <n v="80"/>
    <n v="1"/>
    <n v="5"/>
    <n v="5"/>
    <x v="2"/>
    <x v="9"/>
    <n v="2"/>
    <n v="1"/>
    <n v="3"/>
  </r>
  <r>
    <n v="36"/>
    <x v="0"/>
    <s v="Travel_Rarely"/>
    <n v="1218"/>
    <x v="0"/>
    <n v="9"/>
    <n v="4"/>
    <s v="Life Sciences"/>
    <n v="1"/>
    <n v="27"/>
    <x v="1"/>
    <s v="Male"/>
    <n v="82"/>
    <n v="2"/>
    <n v="1"/>
    <x v="6"/>
    <x v="3"/>
    <s v="Single"/>
    <n v="3407"/>
    <n v="6986"/>
    <n v="7"/>
    <s v="Y"/>
    <x v="1"/>
    <n v="23"/>
    <n v="4"/>
    <n v="2"/>
    <n v="80"/>
    <n v="0"/>
    <n v="10"/>
    <n v="4"/>
    <x v="1"/>
    <x v="8"/>
    <n v="3"/>
    <n v="0"/>
    <n v="3"/>
  </r>
  <r>
    <n v="34"/>
    <x v="1"/>
    <s v="Travel_Rarely"/>
    <n v="419"/>
    <x v="1"/>
    <n v="7"/>
    <n v="4"/>
    <s v="Life Sciences"/>
    <n v="1"/>
    <n v="28"/>
    <x v="3"/>
    <s v="Female"/>
    <n v="53"/>
    <n v="3"/>
    <n v="3"/>
    <x v="7"/>
    <x v="1"/>
    <s v="Single"/>
    <n v="11994"/>
    <n v="21293"/>
    <n v="0"/>
    <s v="Y"/>
    <x v="1"/>
    <n v="11"/>
    <n v="3"/>
    <n v="3"/>
    <n v="80"/>
    <n v="0"/>
    <n v="13"/>
    <n v="4"/>
    <x v="1"/>
    <x v="12"/>
    <n v="6"/>
    <n v="2"/>
    <n v="11"/>
  </r>
  <r>
    <n v="21"/>
    <x v="1"/>
    <s v="Travel_Rarely"/>
    <n v="391"/>
    <x v="1"/>
    <n v="15"/>
    <n v="2"/>
    <s v="Life Sciences"/>
    <n v="1"/>
    <n v="30"/>
    <x v="1"/>
    <s v="Male"/>
    <n v="96"/>
    <n v="3"/>
    <n v="1"/>
    <x v="1"/>
    <x v="0"/>
    <s v="Single"/>
    <n v="1232"/>
    <n v="19281"/>
    <n v="1"/>
    <s v="Y"/>
    <x v="1"/>
    <n v="14"/>
    <n v="3"/>
    <n v="4"/>
    <n v="80"/>
    <n v="0"/>
    <n v="0"/>
    <n v="6"/>
    <x v="1"/>
    <x v="2"/>
    <n v="0"/>
    <n v="0"/>
    <n v="0"/>
  </r>
  <r>
    <n v="34"/>
    <x v="0"/>
    <s v="Travel_Rarely"/>
    <n v="699"/>
    <x v="1"/>
    <n v="6"/>
    <n v="1"/>
    <s v="Medical"/>
    <n v="1"/>
    <n v="31"/>
    <x v="0"/>
    <s v="Male"/>
    <n v="83"/>
    <n v="3"/>
    <n v="1"/>
    <x v="1"/>
    <x v="3"/>
    <s v="Single"/>
    <n v="2960"/>
    <n v="17102"/>
    <n v="2"/>
    <s v="Y"/>
    <x v="1"/>
    <n v="11"/>
    <n v="3"/>
    <n v="3"/>
    <n v="80"/>
    <n v="0"/>
    <n v="8"/>
    <n v="2"/>
    <x v="1"/>
    <x v="9"/>
    <n v="2"/>
    <n v="1"/>
    <n v="3"/>
  </r>
  <r>
    <n v="53"/>
    <x v="1"/>
    <s v="Travel_Rarely"/>
    <n v="1282"/>
    <x v="1"/>
    <n v="5"/>
    <n v="3"/>
    <s v="Other"/>
    <n v="1"/>
    <n v="32"/>
    <x v="1"/>
    <s v="Female"/>
    <n v="58"/>
    <n v="3"/>
    <n v="5"/>
    <x v="5"/>
    <x v="2"/>
    <s v="Divorced"/>
    <n v="19094"/>
    <n v="10735"/>
    <n v="4"/>
    <s v="Y"/>
    <x v="1"/>
    <n v="11"/>
    <n v="3"/>
    <n v="4"/>
    <n v="80"/>
    <n v="1"/>
    <n v="26"/>
    <n v="3"/>
    <x v="2"/>
    <x v="13"/>
    <n v="13"/>
    <n v="4"/>
    <n v="8"/>
  </r>
  <r>
    <n v="32"/>
    <x v="0"/>
    <s v="Travel_Frequently"/>
    <n v="1125"/>
    <x v="1"/>
    <n v="16"/>
    <n v="1"/>
    <s v="Life Sciences"/>
    <n v="1"/>
    <n v="33"/>
    <x v="0"/>
    <s v="Female"/>
    <n v="72"/>
    <n v="1"/>
    <n v="1"/>
    <x v="1"/>
    <x v="3"/>
    <s v="Single"/>
    <n v="3919"/>
    <n v="4681"/>
    <n v="1"/>
    <s v="Y"/>
    <x v="0"/>
    <n v="22"/>
    <n v="4"/>
    <n v="2"/>
    <n v="80"/>
    <n v="0"/>
    <n v="10"/>
    <n v="5"/>
    <x v="1"/>
    <x v="1"/>
    <n v="2"/>
    <n v="6"/>
    <n v="7"/>
  </r>
  <r>
    <n v="42"/>
    <x v="1"/>
    <s v="Travel_Rarely"/>
    <n v="691"/>
    <x v="0"/>
    <n v="8"/>
    <n v="4"/>
    <s v="Marketing"/>
    <n v="1"/>
    <n v="35"/>
    <x v="1"/>
    <s v="Male"/>
    <n v="48"/>
    <n v="3"/>
    <n v="2"/>
    <x v="0"/>
    <x v="1"/>
    <s v="Married"/>
    <n v="6825"/>
    <n v="21173"/>
    <n v="0"/>
    <s v="Y"/>
    <x v="1"/>
    <n v="11"/>
    <n v="3"/>
    <n v="4"/>
    <n v="80"/>
    <n v="1"/>
    <n v="10"/>
    <n v="2"/>
    <x v="1"/>
    <x v="7"/>
    <n v="7"/>
    <n v="4"/>
    <n v="2"/>
  </r>
  <r>
    <n v="44"/>
    <x v="1"/>
    <s v="Travel_Rarely"/>
    <n v="477"/>
    <x v="1"/>
    <n v="7"/>
    <n v="4"/>
    <s v="Medical"/>
    <n v="1"/>
    <n v="36"/>
    <x v="3"/>
    <s v="Female"/>
    <n v="42"/>
    <n v="2"/>
    <n v="3"/>
    <x v="4"/>
    <x v="0"/>
    <s v="Married"/>
    <n v="10248"/>
    <n v="2094"/>
    <n v="3"/>
    <s v="Y"/>
    <x v="1"/>
    <n v="14"/>
    <n v="3"/>
    <n v="4"/>
    <n v="80"/>
    <n v="1"/>
    <n v="24"/>
    <n v="4"/>
    <x v="1"/>
    <x v="14"/>
    <n v="6"/>
    <n v="5"/>
    <n v="17"/>
  </r>
  <r>
    <n v="46"/>
    <x v="1"/>
    <s v="Travel_Rarely"/>
    <n v="705"/>
    <x v="0"/>
    <n v="2"/>
    <n v="4"/>
    <s v="Marketing"/>
    <n v="1"/>
    <n v="38"/>
    <x v="0"/>
    <s v="Female"/>
    <n v="83"/>
    <n v="3"/>
    <n v="5"/>
    <x v="5"/>
    <x v="3"/>
    <s v="Single"/>
    <n v="18947"/>
    <n v="22822"/>
    <n v="3"/>
    <s v="Y"/>
    <x v="1"/>
    <n v="12"/>
    <n v="3"/>
    <n v="4"/>
    <n v="80"/>
    <n v="0"/>
    <n v="22"/>
    <n v="2"/>
    <x v="2"/>
    <x v="4"/>
    <n v="2"/>
    <n v="2"/>
    <n v="1"/>
  </r>
  <r>
    <n v="33"/>
    <x v="1"/>
    <s v="Travel_Rarely"/>
    <n v="924"/>
    <x v="1"/>
    <n v="2"/>
    <n v="3"/>
    <s v="Medical"/>
    <n v="1"/>
    <n v="39"/>
    <x v="1"/>
    <s v="Male"/>
    <n v="78"/>
    <n v="3"/>
    <n v="1"/>
    <x v="2"/>
    <x v="0"/>
    <s v="Single"/>
    <n v="2496"/>
    <n v="6670"/>
    <n v="4"/>
    <s v="Y"/>
    <x v="1"/>
    <n v="11"/>
    <n v="3"/>
    <n v="4"/>
    <n v="80"/>
    <n v="0"/>
    <n v="7"/>
    <n v="3"/>
    <x v="1"/>
    <x v="6"/>
    <n v="1"/>
    <n v="0"/>
    <n v="0"/>
  </r>
  <r>
    <n v="44"/>
    <x v="1"/>
    <s v="Travel_Rarely"/>
    <n v="1459"/>
    <x v="1"/>
    <n v="10"/>
    <n v="4"/>
    <s v="Other"/>
    <n v="1"/>
    <n v="40"/>
    <x v="2"/>
    <s v="Male"/>
    <n v="41"/>
    <n v="3"/>
    <n v="2"/>
    <x v="4"/>
    <x v="0"/>
    <s v="Married"/>
    <n v="6465"/>
    <n v="19121"/>
    <n v="2"/>
    <s v="Y"/>
    <x v="0"/>
    <n v="13"/>
    <n v="3"/>
    <n v="4"/>
    <n v="80"/>
    <n v="0"/>
    <n v="9"/>
    <n v="5"/>
    <x v="3"/>
    <x v="9"/>
    <n v="2"/>
    <n v="1"/>
    <n v="3"/>
  </r>
  <r>
    <n v="30"/>
    <x v="1"/>
    <s v="Travel_Rarely"/>
    <n v="125"/>
    <x v="1"/>
    <n v="9"/>
    <n v="2"/>
    <s v="Medical"/>
    <n v="1"/>
    <n v="41"/>
    <x v="2"/>
    <s v="Male"/>
    <n v="83"/>
    <n v="2"/>
    <n v="1"/>
    <x v="2"/>
    <x v="2"/>
    <s v="Single"/>
    <n v="2206"/>
    <n v="16117"/>
    <n v="1"/>
    <s v="Y"/>
    <x v="1"/>
    <n v="13"/>
    <n v="3"/>
    <n v="1"/>
    <n v="80"/>
    <n v="0"/>
    <n v="10"/>
    <n v="5"/>
    <x v="1"/>
    <x v="1"/>
    <n v="0"/>
    <n v="1"/>
    <n v="8"/>
  </r>
  <r>
    <n v="39"/>
    <x v="0"/>
    <s v="Travel_Rarely"/>
    <n v="895"/>
    <x v="0"/>
    <n v="5"/>
    <n v="3"/>
    <s v="Technical Degree"/>
    <n v="1"/>
    <n v="42"/>
    <x v="2"/>
    <s v="Male"/>
    <n v="56"/>
    <n v="3"/>
    <n v="2"/>
    <x v="6"/>
    <x v="0"/>
    <s v="Married"/>
    <n v="2086"/>
    <n v="3335"/>
    <n v="3"/>
    <s v="Y"/>
    <x v="1"/>
    <n v="14"/>
    <n v="3"/>
    <n v="3"/>
    <n v="80"/>
    <n v="1"/>
    <n v="19"/>
    <n v="6"/>
    <x v="3"/>
    <x v="6"/>
    <n v="0"/>
    <n v="0"/>
    <n v="0"/>
  </r>
  <r>
    <n v="24"/>
    <x v="0"/>
    <s v="Travel_Rarely"/>
    <n v="813"/>
    <x v="1"/>
    <n v="1"/>
    <n v="3"/>
    <s v="Medical"/>
    <n v="1"/>
    <n v="45"/>
    <x v="0"/>
    <s v="Male"/>
    <n v="61"/>
    <n v="3"/>
    <n v="1"/>
    <x v="1"/>
    <x v="0"/>
    <s v="Married"/>
    <n v="2293"/>
    <n v="3020"/>
    <n v="2"/>
    <s v="Y"/>
    <x v="0"/>
    <n v="16"/>
    <n v="3"/>
    <n v="1"/>
    <n v="80"/>
    <n v="1"/>
    <n v="6"/>
    <n v="2"/>
    <x v="2"/>
    <x v="4"/>
    <n v="0"/>
    <n v="2"/>
    <n v="0"/>
  </r>
  <r>
    <n v="43"/>
    <x v="1"/>
    <s v="Travel_Rarely"/>
    <n v="1273"/>
    <x v="1"/>
    <n v="2"/>
    <n v="2"/>
    <s v="Medical"/>
    <n v="1"/>
    <n v="46"/>
    <x v="2"/>
    <s v="Female"/>
    <n v="72"/>
    <n v="4"/>
    <n v="1"/>
    <x v="1"/>
    <x v="2"/>
    <s v="Divorced"/>
    <n v="2645"/>
    <n v="21923"/>
    <n v="1"/>
    <s v="Y"/>
    <x v="1"/>
    <n v="12"/>
    <n v="3"/>
    <n v="4"/>
    <n v="80"/>
    <n v="2"/>
    <n v="6"/>
    <n v="3"/>
    <x v="2"/>
    <x v="8"/>
    <n v="3"/>
    <n v="1"/>
    <n v="4"/>
  </r>
  <r>
    <n v="50"/>
    <x v="0"/>
    <s v="Travel_Rarely"/>
    <n v="869"/>
    <x v="0"/>
    <n v="3"/>
    <n v="2"/>
    <s v="Marketing"/>
    <n v="1"/>
    <n v="47"/>
    <x v="3"/>
    <s v="Male"/>
    <n v="86"/>
    <n v="2"/>
    <n v="1"/>
    <x v="6"/>
    <x v="2"/>
    <s v="Married"/>
    <n v="2683"/>
    <n v="3810"/>
    <n v="1"/>
    <s v="Y"/>
    <x v="0"/>
    <n v="14"/>
    <n v="3"/>
    <n v="3"/>
    <n v="80"/>
    <n v="0"/>
    <n v="3"/>
    <n v="2"/>
    <x v="1"/>
    <x v="11"/>
    <n v="2"/>
    <n v="0"/>
    <n v="2"/>
  </r>
  <r>
    <n v="35"/>
    <x v="1"/>
    <s v="Travel_Rarely"/>
    <n v="890"/>
    <x v="0"/>
    <n v="2"/>
    <n v="3"/>
    <s v="Marketing"/>
    <n v="1"/>
    <n v="49"/>
    <x v="2"/>
    <s v="Female"/>
    <n v="97"/>
    <n v="3"/>
    <n v="1"/>
    <x v="6"/>
    <x v="0"/>
    <s v="Married"/>
    <n v="2014"/>
    <n v="9687"/>
    <n v="1"/>
    <s v="Y"/>
    <x v="1"/>
    <n v="13"/>
    <n v="3"/>
    <n v="1"/>
    <n v="80"/>
    <n v="0"/>
    <n v="2"/>
    <n v="3"/>
    <x v="1"/>
    <x v="4"/>
    <n v="2"/>
    <n v="2"/>
    <n v="2"/>
  </r>
  <r>
    <n v="36"/>
    <x v="1"/>
    <s v="Travel_Rarely"/>
    <n v="852"/>
    <x v="1"/>
    <n v="5"/>
    <n v="4"/>
    <s v="Life Sciences"/>
    <n v="1"/>
    <n v="51"/>
    <x v="0"/>
    <s v="Female"/>
    <n v="82"/>
    <n v="2"/>
    <n v="1"/>
    <x v="1"/>
    <x v="3"/>
    <s v="Married"/>
    <n v="3419"/>
    <n v="13072"/>
    <n v="9"/>
    <s v="Y"/>
    <x v="0"/>
    <n v="14"/>
    <n v="3"/>
    <n v="4"/>
    <n v="80"/>
    <n v="1"/>
    <n v="6"/>
    <n v="3"/>
    <x v="3"/>
    <x v="6"/>
    <n v="1"/>
    <n v="0"/>
    <n v="0"/>
  </r>
  <r>
    <n v="33"/>
    <x v="1"/>
    <s v="Travel_Frequently"/>
    <n v="1141"/>
    <x v="0"/>
    <n v="1"/>
    <n v="3"/>
    <s v="Life Sciences"/>
    <n v="1"/>
    <n v="52"/>
    <x v="1"/>
    <s v="Female"/>
    <n v="42"/>
    <n v="4"/>
    <n v="2"/>
    <x v="0"/>
    <x v="3"/>
    <s v="Married"/>
    <n v="5376"/>
    <n v="3193"/>
    <n v="2"/>
    <s v="Y"/>
    <x v="1"/>
    <n v="19"/>
    <n v="3"/>
    <n v="1"/>
    <n v="80"/>
    <n v="2"/>
    <n v="10"/>
    <n v="3"/>
    <x v="1"/>
    <x v="8"/>
    <n v="3"/>
    <n v="1"/>
    <n v="3"/>
  </r>
  <r>
    <n v="35"/>
    <x v="1"/>
    <s v="Travel_Rarely"/>
    <n v="464"/>
    <x v="1"/>
    <n v="4"/>
    <n v="2"/>
    <s v="Other"/>
    <n v="1"/>
    <n v="53"/>
    <x v="1"/>
    <s v="Male"/>
    <n v="75"/>
    <n v="3"/>
    <n v="1"/>
    <x v="2"/>
    <x v="0"/>
    <s v="Divorced"/>
    <n v="1951"/>
    <n v="10910"/>
    <n v="1"/>
    <s v="Y"/>
    <x v="1"/>
    <n v="12"/>
    <n v="3"/>
    <n v="3"/>
    <n v="80"/>
    <n v="1"/>
    <n v="1"/>
    <n v="3"/>
    <x v="1"/>
    <x v="6"/>
    <n v="0"/>
    <n v="0"/>
    <n v="0"/>
  </r>
  <r>
    <n v="27"/>
    <x v="1"/>
    <s v="Travel_Rarely"/>
    <n v="1240"/>
    <x v="1"/>
    <n v="2"/>
    <n v="4"/>
    <s v="Life Sciences"/>
    <n v="1"/>
    <n v="54"/>
    <x v="2"/>
    <s v="Female"/>
    <n v="33"/>
    <n v="3"/>
    <n v="1"/>
    <x v="2"/>
    <x v="3"/>
    <s v="Divorced"/>
    <n v="2341"/>
    <n v="19715"/>
    <n v="1"/>
    <s v="Y"/>
    <x v="1"/>
    <n v="13"/>
    <n v="3"/>
    <n v="4"/>
    <n v="80"/>
    <n v="1"/>
    <n v="1"/>
    <n v="6"/>
    <x v="1"/>
    <x v="6"/>
    <n v="0"/>
    <n v="0"/>
    <n v="0"/>
  </r>
  <r>
    <n v="26"/>
    <x v="0"/>
    <s v="Travel_Rarely"/>
    <n v="1357"/>
    <x v="1"/>
    <n v="25"/>
    <n v="3"/>
    <s v="Life Sciences"/>
    <n v="1"/>
    <n v="55"/>
    <x v="3"/>
    <s v="Male"/>
    <n v="48"/>
    <n v="1"/>
    <n v="1"/>
    <x v="2"/>
    <x v="2"/>
    <s v="Single"/>
    <n v="2293"/>
    <n v="10558"/>
    <n v="1"/>
    <s v="Y"/>
    <x v="1"/>
    <n v="12"/>
    <n v="3"/>
    <n v="3"/>
    <n v="80"/>
    <n v="0"/>
    <n v="1"/>
    <n v="2"/>
    <x v="2"/>
    <x v="6"/>
    <n v="0"/>
    <n v="0"/>
    <n v="1"/>
  </r>
  <r>
    <n v="27"/>
    <x v="1"/>
    <s v="Travel_Frequently"/>
    <n v="994"/>
    <x v="0"/>
    <n v="8"/>
    <n v="3"/>
    <s v="Life Sciences"/>
    <n v="1"/>
    <n v="56"/>
    <x v="2"/>
    <s v="Male"/>
    <n v="37"/>
    <n v="3"/>
    <n v="3"/>
    <x v="0"/>
    <x v="2"/>
    <s v="Single"/>
    <n v="8726"/>
    <n v="2975"/>
    <n v="1"/>
    <s v="Y"/>
    <x v="1"/>
    <n v="15"/>
    <n v="3"/>
    <n v="4"/>
    <n v="80"/>
    <n v="0"/>
    <n v="9"/>
    <n v="0"/>
    <x v="1"/>
    <x v="7"/>
    <n v="8"/>
    <n v="1"/>
    <n v="7"/>
  </r>
  <r>
    <n v="30"/>
    <x v="1"/>
    <s v="Travel_Frequently"/>
    <n v="721"/>
    <x v="1"/>
    <n v="1"/>
    <n v="2"/>
    <s v="Medical"/>
    <n v="1"/>
    <n v="57"/>
    <x v="1"/>
    <s v="Female"/>
    <n v="58"/>
    <n v="3"/>
    <n v="2"/>
    <x v="2"/>
    <x v="0"/>
    <s v="Single"/>
    <n v="4011"/>
    <n v="10781"/>
    <n v="1"/>
    <s v="Y"/>
    <x v="1"/>
    <n v="23"/>
    <n v="4"/>
    <n v="4"/>
    <n v="80"/>
    <n v="0"/>
    <n v="12"/>
    <n v="2"/>
    <x v="1"/>
    <x v="12"/>
    <n v="8"/>
    <n v="3"/>
    <n v="7"/>
  </r>
  <r>
    <n v="41"/>
    <x v="0"/>
    <s v="Travel_Rarely"/>
    <n v="1360"/>
    <x v="1"/>
    <n v="12"/>
    <n v="3"/>
    <s v="Technical Degree"/>
    <n v="1"/>
    <n v="58"/>
    <x v="0"/>
    <s v="Female"/>
    <n v="49"/>
    <n v="3"/>
    <n v="5"/>
    <x v="7"/>
    <x v="2"/>
    <s v="Married"/>
    <n v="19545"/>
    <n v="16280"/>
    <n v="1"/>
    <s v="Y"/>
    <x v="1"/>
    <n v="12"/>
    <n v="3"/>
    <n v="4"/>
    <n v="80"/>
    <n v="0"/>
    <n v="23"/>
    <n v="0"/>
    <x v="1"/>
    <x v="14"/>
    <n v="15"/>
    <n v="15"/>
    <n v="8"/>
  </r>
  <r>
    <n v="34"/>
    <x v="1"/>
    <s v="Non-Travel"/>
    <n v="1065"/>
    <x v="0"/>
    <n v="23"/>
    <n v="4"/>
    <s v="Marketing"/>
    <n v="1"/>
    <n v="60"/>
    <x v="0"/>
    <s v="Male"/>
    <n v="72"/>
    <n v="3"/>
    <n v="2"/>
    <x v="0"/>
    <x v="2"/>
    <s v="Single"/>
    <n v="4568"/>
    <n v="10034"/>
    <n v="0"/>
    <s v="Y"/>
    <x v="1"/>
    <n v="20"/>
    <n v="4"/>
    <n v="3"/>
    <n v="80"/>
    <n v="0"/>
    <n v="10"/>
    <n v="2"/>
    <x v="1"/>
    <x v="7"/>
    <n v="5"/>
    <n v="8"/>
    <n v="7"/>
  </r>
  <r>
    <n v="37"/>
    <x v="1"/>
    <s v="Travel_Rarely"/>
    <n v="408"/>
    <x v="1"/>
    <n v="19"/>
    <n v="2"/>
    <s v="Life Sciences"/>
    <n v="1"/>
    <n v="61"/>
    <x v="0"/>
    <s v="Male"/>
    <n v="73"/>
    <n v="3"/>
    <n v="1"/>
    <x v="1"/>
    <x v="1"/>
    <s v="Married"/>
    <n v="3022"/>
    <n v="10227"/>
    <n v="4"/>
    <s v="Y"/>
    <x v="1"/>
    <n v="21"/>
    <n v="4"/>
    <n v="1"/>
    <n v="80"/>
    <n v="0"/>
    <n v="8"/>
    <n v="1"/>
    <x v="1"/>
    <x v="6"/>
    <n v="0"/>
    <n v="0"/>
    <n v="0"/>
  </r>
  <r>
    <n v="46"/>
    <x v="1"/>
    <s v="Travel_Frequently"/>
    <n v="1211"/>
    <x v="0"/>
    <n v="5"/>
    <n v="4"/>
    <s v="Marketing"/>
    <n v="1"/>
    <n v="62"/>
    <x v="3"/>
    <s v="Male"/>
    <n v="98"/>
    <n v="3"/>
    <n v="2"/>
    <x v="0"/>
    <x v="0"/>
    <s v="Single"/>
    <n v="5772"/>
    <n v="20445"/>
    <n v="4"/>
    <s v="Y"/>
    <x v="0"/>
    <n v="21"/>
    <n v="4"/>
    <n v="3"/>
    <n v="80"/>
    <n v="0"/>
    <n v="14"/>
    <n v="4"/>
    <x v="1"/>
    <x v="7"/>
    <n v="6"/>
    <n v="0"/>
    <n v="8"/>
  </r>
  <r>
    <n v="35"/>
    <x v="1"/>
    <s v="Travel_Rarely"/>
    <n v="1229"/>
    <x v="1"/>
    <n v="8"/>
    <n v="1"/>
    <s v="Life Sciences"/>
    <n v="1"/>
    <n v="63"/>
    <x v="2"/>
    <s v="Male"/>
    <n v="36"/>
    <n v="4"/>
    <n v="1"/>
    <x v="2"/>
    <x v="0"/>
    <s v="Married"/>
    <n v="2269"/>
    <n v="4892"/>
    <n v="1"/>
    <s v="Y"/>
    <x v="1"/>
    <n v="19"/>
    <n v="3"/>
    <n v="4"/>
    <n v="80"/>
    <n v="0"/>
    <n v="1"/>
    <n v="2"/>
    <x v="1"/>
    <x v="6"/>
    <n v="0"/>
    <n v="0"/>
    <n v="1"/>
  </r>
  <r>
    <n v="48"/>
    <x v="0"/>
    <s v="Travel_Rarely"/>
    <n v="626"/>
    <x v="1"/>
    <n v="1"/>
    <n v="2"/>
    <s v="Life Sciences"/>
    <n v="1"/>
    <n v="64"/>
    <x v="3"/>
    <s v="Male"/>
    <n v="98"/>
    <n v="2"/>
    <n v="3"/>
    <x v="2"/>
    <x v="2"/>
    <s v="Single"/>
    <n v="5381"/>
    <n v="19294"/>
    <n v="9"/>
    <s v="Y"/>
    <x v="0"/>
    <n v="13"/>
    <n v="3"/>
    <n v="4"/>
    <n v="80"/>
    <n v="0"/>
    <n v="23"/>
    <n v="2"/>
    <x v="1"/>
    <x v="6"/>
    <n v="0"/>
    <n v="0"/>
    <n v="0"/>
  </r>
  <r>
    <n v="28"/>
    <x v="0"/>
    <s v="Travel_Rarely"/>
    <n v="1434"/>
    <x v="1"/>
    <n v="5"/>
    <n v="4"/>
    <s v="Technical Degree"/>
    <n v="1"/>
    <n v="65"/>
    <x v="1"/>
    <s v="Male"/>
    <n v="50"/>
    <n v="3"/>
    <n v="1"/>
    <x v="2"/>
    <x v="2"/>
    <s v="Single"/>
    <n v="3441"/>
    <n v="11179"/>
    <n v="1"/>
    <s v="Y"/>
    <x v="0"/>
    <n v="13"/>
    <n v="3"/>
    <n v="3"/>
    <n v="80"/>
    <n v="0"/>
    <n v="2"/>
    <n v="3"/>
    <x v="2"/>
    <x v="4"/>
    <n v="2"/>
    <n v="2"/>
    <n v="2"/>
  </r>
  <r>
    <n v="44"/>
    <x v="1"/>
    <s v="Travel_Rarely"/>
    <n v="1488"/>
    <x v="0"/>
    <n v="1"/>
    <n v="5"/>
    <s v="Marketing"/>
    <n v="1"/>
    <n v="68"/>
    <x v="0"/>
    <s v="Female"/>
    <n v="75"/>
    <n v="3"/>
    <n v="2"/>
    <x v="0"/>
    <x v="3"/>
    <s v="Divorced"/>
    <n v="5454"/>
    <n v="4009"/>
    <n v="5"/>
    <s v="Y"/>
    <x v="0"/>
    <n v="21"/>
    <n v="4"/>
    <n v="3"/>
    <n v="80"/>
    <n v="1"/>
    <n v="9"/>
    <n v="2"/>
    <x v="2"/>
    <x v="9"/>
    <n v="3"/>
    <n v="1"/>
    <n v="3"/>
  </r>
  <r>
    <n v="35"/>
    <x v="1"/>
    <s v="Non-Travel"/>
    <n v="1097"/>
    <x v="1"/>
    <n v="11"/>
    <n v="2"/>
    <s v="Medical"/>
    <n v="1"/>
    <n v="70"/>
    <x v="1"/>
    <s v="Male"/>
    <n v="79"/>
    <n v="2"/>
    <n v="3"/>
    <x v="4"/>
    <x v="3"/>
    <s v="Married"/>
    <n v="9884"/>
    <n v="8302"/>
    <n v="2"/>
    <s v="Y"/>
    <x v="0"/>
    <n v="13"/>
    <n v="3"/>
    <n v="3"/>
    <n v="80"/>
    <n v="1"/>
    <n v="10"/>
    <n v="3"/>
    <x v="1"/>
    <x v="9"/>
    <n v="0"/>
    <n v="2"/>
    <n v="3"/>
  </r>
  <r>
    <n v="26"/>
    <x v="1"/>
    <s v="Travel_Rarely"/>
    <n v="1443"/>
    <x v="0"/>
    <n v="23"/>
    <n v="3"/>
    <s v="Marketing"/>
    <n v="1"/>
    <n v="72"/>
    <x v="1"/>
    <s v="Female"/>
    <n v="47"/>
    <n v="2"/>
    <n v="2"/>
    <x v="0"/>
    <x v="0"/>
    <s v="Married"/>
    <n v="4157"/>
    <n v="21436"/>
    <n v="7"/>
    <s v="Y"/>
    <x v="0"/>
    <n v="19"/>
    <n v="3"/>
    <n v="3"/>
    <n v="80"/>
    <n v="1"/>
    <n v="5"/>
    <n v="2"/>
    <x v="2"/>
    <x v="4"/>
    <n v="2"/>
    <n v="0"/>
    <n v="0"/>
  </r>
  <r>
    <n v="33"/>
    <x v="1"/>
    <s v="Travel_Frequently"/>
    <n v="515"/>
    <x v="1"/>
    <n v="1"/>
    <n v="2"/>
    <s v="Life Sciences"/>
    <n v="1"/>
    <n v="73"/>
    <x v="3"/>
    <s v="Female"/>
    <n v="98"/>
    <n v="3"/>
    <n v="3"/>
    <x v="7"/>
    <x v="0"/>
    <s v="Single"/>
    <n v="13458"/>
    <n v="15146"/>
    <n v="1"/>
    <s v="Y"/>
    <x v="0"/>
    <n v="12"/>
    <n v="3"/>
    <n v="3"/>
    <n v="80"/>
    <n v="0"/>
    <n v="15"/>
    <n v="1"/>
    <x v="1"/>
    <x v="15"/>
    <n v="14"/>
    <n v="8"/>
    <n v="12"/>
  </r>
  <r>
    <n v="35"/>
    <x v="1"/>
    <s v="Travel_Frequently"/>
    <n v="853"/>
    <x v="0"/>
    <n v="18"/>
    <n v="5"/>
    <s v="Life Sciences"/>
    <n v="1"/>
    <n v="74"/>
    <x v="0"/>
    <s v="Male"/>
    <n v="71"/>
    <n v="3"/>
    <n v="3"/>
    <x v="0"/>
    <x v="3"/>
    <s v="Married"/>
    <n v="9069"/>
    <n v="11031"/>
    <n v="1"/>
    <s v="Y"/>
    <x v="1"/>
    <n v="22"/>
    <n v="4"/>
    <n v="4"/>
    <n v="80"/>
    <n v="1"/>
    <n v="9"/>
    <n v="3"/>
    <x v="2"/>
    <x v="7"/>
    <n v="8"/>
    <n v="1"/>
    <n v="8"/>
  </r>
  <r>
    <n v="35"/>
    <x v="1"/>
    <s v="Travel_Rarely"/>
    <n v="1142"/>
    <x v="1"/>
    <n v="23"/>
    <n v="4"/>
    <s v="Medical"/>
    <n v="1"/>
    <n v="75"/>
    <x v="1"/>
    <s v="Female"/>
    <n v="30"/>
    <n v="3"/>
    <n v="1"/>
    <x v="2"/>
    <x v="3"/>
    <s v="Married"/>
    <n v="4014"/>
    <n v="16002"/>
    <n v="3"/>
    <s v="Y"/>
    <x v="0"/>
    <n v="15"/>
    <n v="3"/>
    <n v="3"/>
    <n v="80"/>
    <n v="1"/>
    <n v="4"/>
    <n v="3"/>
    <x v="1"/>
    <x v="4"/>
    <n v="2"/>
    <n v="2"/>
    <n v="2"/>
  </r>
  <r>
    <n v="31"/>
    <x v="1"/>
    <s v="Travel_Rarely"/>
    <n v="655"/>
    <x v="1"/>
    <n v="7"/>
    <n v="4"/>
    <s v="Life Sciences"/>
    <n v="1"/>
    <n v="76"/>
    <x v="2"/>
    <s v="Male"/>
    <n v="48"/>
    <n v="3"/>
    <n v="2"/>
    <x v="2"/>
    <x v="0"/>
    <s v="Divorced"/>
    <n v="5915"/>
    <n v="9528"/>
    <n v="3"/>
    <s v="Y"/>
    <x v="1"/>
    <n v="22"/>
    <n v="4"/>
    <n v="4"/>
    <n v="80"/>
    <n v="1"/>
    <n v="10"/>
    <n v="3"/>
    <x v="2"/>
    <x v="5"/>
    <n v="7"/>
    <n v="1"/>
    <n v="7"/>
  </r>
  <r>
    <n v="37"/>
    <x v="1"/>
    <s v="Travel_Rarely"/>
    <n v="1115"/>
    <x v="1"/>
    <n v="1"/>
    <n v="4"/>
    <s v="Life Sciences"/>
    <n v="1"/>
    <n v="77"/>
    <x v="3"/>
    <s v="Male"/>
    <n v="51"/>
    <n v="2"/>
    <n v="2"/>
    <x v="3"/>
    <x v="2"/>
    <s v="Divorced"/>
    <n v="5993"/>
    <n v="2689"/>
    <n v="1"/>
    <s v="Y"/>
    <x v="1"/>
    <n v="18"/>
    <n v="3"/>
    <n v="3"/>
    <n v="80"/>
    <n v="1"/>
    <n v="7"/>
    <n v="2"/>
    <x v="3"/>
    <x v="5"/>
    <n v="5"/>
    <n v="0"/>
    <n v="7"/>
  </r>
  <r>
    <n v="32"/>
    <x v="1"/>
    <s v="Travel_Rarely"/>
    <n v="427"/>
    <x v="1"/>
    <n v="1"/>
    <n v="3"/>
    <s v="Medical"/>
    <n v="1"/>
    <n v="78"/>
    <x v="3"/>
    <s v="Male"/>
    <n v="33"/>
    <n v="3"/>
    <n v="2"/>
    <x v="3"/>
    <x v="0"/>
    <s v="Married"/>
    <n v="6162"/>
    <n v="10877"/>
    <n v="1"/>
    <s v="Y"/>
    <x v="0"/>
    <n v="22"/>
    <n v="4"/>
    <n v="2"/>
    <n v="80"/>
    <n v="1"/>
    <n v="9"/>
    <n v="3"/>
    <x v="1"/>
    <x v="7"/>
    <n v="8"/>
    <n v="7"/>
    <n v="8"/>
  </r>
  <r>
    <n v="38"/>
    <x v="1"/>
    <s v="Travel_Frequently"/>
    <n v="653"/>
    <x v="1"/>
    <n v="29"/>
    <n v="5"/>
    <s v="Life Sciences"/>
    <n v="1"/>
    <n v="79"/>
    <x v="2"/>
    <s v="Female"/>
    <n v="50"/>
    <n v="3"/>
    <n v="2"/>
    <x v="2"/>
    <x v="0"/>
    <s v="Single"/>
    <n v="2406"/>
    <n v="5456"/>
    <n v="1"/>
    <s v="Y"/>
    <x v="1"/>
    <n v="11"/>
    <n v="3"/>
    <n v="4"/>
    <n v="80"/>
    <n v="0"/>
    <n v="10"/>
    <n v="2"/>
    <x v="1"/>
    <x v="1"/>
    <n v="3"/>
    <n v="9"/>
    <n v="9"/>
  </r>
  <r>
    <n v="50"/>
    <x v="1"/>
    <s v="Travel_Rarely"/>
    <n v="989"/>
    <x v="1"/>
    <n v="7"/>
    <n v="2"/>
    <s v="Medical"/>
    <n v="1"/>
    <n v="80"/>
    <x v="0"/>
    <s v="Female"/>
    <n v="43"/>
    <n v="2"/>
    <n v="5"/>
    <x v="7"/>
    <x v="2"/>
    <s v="Divorced"/>
    <n v="18740"/>
    <n v="16701"/>
    <n v="5"/>
    <s v="Y"/>
    <x v="0"/>
    <n v="12"/>
    <n v="3"/>
    <n v="4"/>
    <n v="80"/>
    <n v="1"/>
    <n v="29"/>
    <n v="2"/>
    <x v="2"/>
    <x v="16"/>
    <n v="3"/>
    <n v="13"/>
    <n v="8"/>
  </r>
  <r>
    <n v="59"/>
    <x v="1"/>
    <s v="Travel_Rarely"/>
    <n v="1435"/>
    <x v="0"/>
    <n v="25"/>
    <n v="3"/>
    <s v="Life Sciences"/>
    <n v="1"/>
    <n v="81"/>
    <x v="3"/>
    <s v="Female"/>
    <n v="99"/>
    <n v="3"/>
    <n v="3"/>
    <x v="0"/>
    <x v="3"/>
    <s v="Single"/>
    <n v="7637"/>
    <n v="2354"/>
    <n v="7"/>
    <s v="Y"/>
    <x v="1"/>
    <n v="11"/>
    <n v="3"/>
    <n v="4"/>
    <n v="80"/>
    <n v="0"/>
    <n v="28"/>
    <n v="3"/>
    <x v="2"/>
    <x v="17"/>
    <n v="16"/>
    <n v="7"/>
    <n v="9"/>
  </r>
  <r>
    <n v="36"/>
    <x v="1"/>
    <s v="Travel_Rarely"/>
    <n v="1223"/>
    <x v="1"/>
    <n v="8"/>
    <n v="3"/>
    <s v="Technical Degree"/>
    <n v="1"/>
    <n v="83"/>
    <x v="1"/>
    <s v="Female"/>
    <n v="59"/>
    <n v="3"/>
    <n v="3"/>
    <x v="4"/>
    <x v="2"/>
    <s v="Divorced"/>
    <n v="10096"/>
    <n v="8202"/>
    <n v="1"/>
    <s v="Y"/>
    <x v="1"/>
    <n v="13"/>
    <n v="3"/>
    <n v="2"/>
    <n v="80"/>
    <n v="3"/>
    <n v="17"/>
    <n v="2"/>
    <x v="1"/>
    <x v="18"/>
    <n v="14"/>
    <n v="12"/>
    <n v="8"/>
  </r>
  <r>
    <n v="55"/>
    <x v="1"/>
    <s v="Travel_Rarely"/>
    <n v="836"/>
    <x v="1"/>
    <n v="8"/>
    <n v="3"/>
    <s v="Medical"/>
    <n v="1"/>
    <n v="84"/>
    <x v="2"/>
    <s v="Female"/>
    <n v="33"/>
    <n v="3"/>
    <n v="4"/>
    <x v="5"/>
    <x v="2"/>
    <s v="Divorced"/>
    <n v="14756"/>
    <n v="19730"/>
    <n v="2"/>
    <s v="Y"/>
    <x v="0"/>
    <n v="14"/>
    <n v="3"/>
    <n v="3"/>
    <n v="80"/>
    <n v="3"/>
    <n v="21"/>
    <n v="2"/>
    <x v="1"/>
    <x v="8"/>
    <n v="0"/>
    <n v="0"/>
    <n v="2"/>
  </r>
  <r>
    <n v="36"/>
    <x v="1"/>
    <s v="Travel_Frequently"/>
    <n v="1195"/>
    <x v="1"/>
    <n v="11"/>
    <n v="3"/>
    <s v="Life Sciences"/>
    <n v="1"/>
    <n v="85"/>
    <x v="0"/>
    <s v="Male"/>
    <n v="95"/>
    <n v="2"/>
    <n v="2"/>
    <x v="3"/>
    <x v="1"/>
    <s v="Single"/>
    <n v="6499"/>
    <n v="22656"/>
    <n v="1"/>
    <s v="Y"/>
    <x v="1"/>
    <n v="13"/>
    <n v="3"/>
    <n v="3"/>
    <n v="80"/>
    <n v="0"/>
    <n v="6"/>
    <n v="3"/>
    <x v="1"/>
    <x v="0"/>
    <n v="5"/>
    <n v="0"/>
    <n v="3"/>
  </r>
  <r>
    <n v="45"/>
    <x v="1"/>
    <s v="Travel_Rarely"/>
    <n v="1339"/>
    <x v="1"/>
    <n v="7"/>
    <n v="3"/>
    <s v="Life Sciences"/>
    <n v="1"/>
    <n v="86"/>
    <x v="0"/>
    <s v="Male"/>
    <n v="59"/>
    <n v="3"/>
    <n v="3"/>
    <x v="1"/>
    <x v="3"/>
    <s v="Divorced"/>
    <n v="9724"/>
    <n v="18787"/>
    <n v="2"/>
    <s v="Y"/>
    <x v="1"/>
    <n v="17"/>
    <n v="3"/>
    <n v="3"/>
    <n v="80"/>
    <n v="1"/>
    <n v="25"/>
    <n v="2"/>
    <x v="1"/>
    <x v="6"/>
    <n v="0"/>
    <n v="0"/>
    <n v="0"/>
  </r>
  <r>
    <n v="35"/>
    <x v="1"/>
    <s v="Travel_Frequently"/>
    <n v="664"/>
    <x v="1"/>
    <n v="1"/>
    <n v="3"/>
    <s v="Medical"/>
    <n v="1"/>
    <n v="88"/>
    <x v="0"/>
    <s v="Male"/>
    <n v="79"/>
    <n v="3"/>
    <n v="1"/>
    <x v="1"/>
    <x v="3"/>
    <s v="Married"/>
    <n v="2194"/>
    <n v="5868"/>
    <n v="4"/>
    <s v="Y"/>
    <x v="1"/>
    <n v="13"/>
    <n v="3"/>
    <n v="4"/>
    <n v="80"/>
    <n v="1"/>
    <n v="5"/>
    <n v="2"/>
    <x v="2"/>
    <x v="11"/>
    <n v="2"/>
    <n v="1"/>
    <n v="2"/>
  </r>
  <r>
    <n v="36"/>
    <x v="0"/>
    <s v="Travel_Rarely"/>
    <n v="318"/>
    <x v="1"/>
    <n v="9"/>
    <n v="3"/>
    <s v="Medical"/>
    <n v="1"/>
    <n v="90"/>
    <x v="2"/>
    <s v="Male"/>
    <n v="79"/>
    <n v="2"/>
    <n v="1"/>
    <x v="1"/>
    <x v="2"/>
    <s v="Married"/>
    <n v="3388"/>
    <n v="21777"/>
    <n v="0"/>
    <s v="Y"/>
    <x v="0"/>
    <n v="17"/>
    <n v="3"/>
    <n v="1"/>
    <n v="80"/>
    <n v="1"/>
    <n v="2"/>
    <n v="0"/>
    <x v="2"/>
    <x v="6"/>
    <n v="0"/>
    <n v="0"/>
    <n v="0"/>
  </r>
  <r>
    <n v="59"/>
    <x v="1"/>
    <s v="Travel_Frequently"/>
    <n v="1225"/>
    <x v="0"/>
    <n v="1"/>
    <n v="1"/>
    <s v="Life Sciences"/>
    <n v="1"/>
    <n v="91"/>
    <x v="3"/>
    <s v="Female"/>
    <n v="57"/>
    <n v="2"/>
    <n v="2"/>
    <x v="0"/>
    <x v="2"/>
    <s v="Single"/>
    <n v="5473"/>
    <n v="24668"/>
    <n v="7"/>
    <s v="Y"/>
    <x v="1"/>
    <n v="11"/>
    <n v="3"/>
    <n v="4"/>
    <n v="80"/>
    <n v="0"/>
    <n v="20"/>
    <n v="2"/>
    <x v="2"/>
    <x v="9"/>
    <n v="3"/>
    <n v="1"/>
    <n v="3"/>
  </r>
  <r>
    <n v="29"/>
    <x v="1"/>
    <s v="Travel_Rarely"/>
    <n v="1328"/>
    <x v="1"/>
    <n v="2"/>
    <n v="3"/>
    <s v="Life Sciences"/>
    <n v="1"/>
    <n v="94"/>
    <x v="1"/>
    <s v="Male"/>
    <n v="76"/>
    <n v="3"/>
    <n v="1"/>
    <x v="1"/>
    <x v="1"/>
    <s v="Married"/>
    <n v="2703"/>
    <n v="4956"/>
    <n v="0"/>
    <s v="Y"/>
    <x v="1"/>
    <n v="23"/>
    <n v="4"/>
    <n v="4"/>
    <n v="80"/>
    <n v="1"/>
    <n v="6"/>
    <n v="3"/>
    <x v="1"/>
    <x v="8"/>
    <n v="4"/>
    <n v="0"/>
    <n v="4"/>
  </r>
  <r>
    <n v="31"/>
    <x v="1"/>
    <s v="Travel_Rarely"/>
    <n v="1082"/>
    <x v="1"/>
    <n v="1"/>
    <n v="4"/>
    <s v="Medical"/>
    <n v="1"/>
    <n v="95"/>
    <x v="1"/>
    <s v="Male"/>
    <n v="87"/>
    <n v="3"/>
    <n v="1"/>
    <x v="1"/>
    <x v="1"/>
    <s v="Single"/>
    <n v="2501"/>
    <n v="18775"/>
    <n v="1"/>
    <s v="Y"/>
    <x v="1"/>
    <n v="17"/>
    <n v="3"/>
    <n v="2"/>
    <n v="80"/>
    <n v="0"/>
    <n v="1"/>
    <n v="4"/>
    <x v="1"/>
    <x v="6"/>
    <n v="1"/>
    <n v="1"/>
    <n v="0"/>
  </r>
  <r>
    <n v="32"/>
    <x v="1"/>
    <s v="Travel_Rarely"/>
    <n v="548"/>
    <x v="1"/>
    <n v="1"/>
    <n v="3"/>
    <s v="Life Sciences"/>
    <n v="1"/>
    <n v="96"/>
    <x v="0"/>
    <s v="Male"/>
    <n v="66"/>
    <n v="3"/>
    <n v="2"/>
    <x v="1"/>
    <x v="1"/>
    <s v="Married"/>
    <n v="6220"/>
    <n v="7346"/>
    <n v="1"/>
    <s v="Y"/>
    <x v="1"/>
    <n v="17"/>
    <n v="3"/>
    <n v="2"/>
    <n v="80"/>
    <n v="2"/>
    <n v="10"/>
    <n v="3"/>
    <x v="1"/>
    <x v="1"/>
    <n v="4"/>
    <n v="0"/>
    <n v="9"/>
  </r>
  <r>
    <n v="36"/>
    <x v="1"/>
    <s v="Travel_Rarely"/>
    <n v="132"/>
    <x v="1"/>
    <n v="6"/>
    <n v="3"/>
    <s v="Life Sciences"/>
    <n v="1"/>
    <n v="97"/>
    <x v="0"/>
    <s v="Female"/>
    <n v="55"/>
    <n v="4"/>
    <n v="1"/>
    <x v="2"/>
    <x v="0"/>
    <s v="Married"/>
    <n v="3038"/>
    <n v="22002"/>
    <n v="3"/>
    <s v="Y"/>
    <x v="1"/>
    <n v="12"/>
    <n v="3"/>
    <n v="2"/>
    <n v="80"/>
    <n v="0"/>
    <n v="5"/>
    <n v="3"/>
    <x v="1"/>
    <x v="6"/>
    <n v="0"/>
    <n v="0"/>
    <n v="0"/>
  </r>
  <r>
    <n v="31"/>
    <x v="1"/>
    <s v="Travel_Rarely"/>
    <n v="746"/>
    <x v="1"/>
    <n v="8"/>
    <n v="4"/>
    <s v="Life Sciences"/>
    <n v="1"/>
    <n v="98"/>
    <x v="1"/>
    <s v="Female"/>
    <n v="61"/>
    <n v="3"/>
    <n v="2"/>
    <x v="3"/>
    <x v="0"/>
    <s v="Single"/>
    <n v="4424"/>
    <n v="20682"/>
    <n v="1"/>
    <s v="Y"/>
    <x v="1"/>
    <n v="23"/>
    <n v="4"/>
    <n v="4"/>
    <n v="80"/>
    <n v="0"/>
    <n v="11"/>
    <n v="2"/>
    <x v="1"/>
    <x v="19"/>
    <n v="7"/>
    <n v="1"/>
    <n v="8"/>
  </r>
  <r>
    <n v="35"/>
    <x v="1"/>
    <s v="Travel_Rarely"/>
    <n v="776"/>
    <x v="0"/>
    <n v="1"/>
    <n v="4"/>
    <s v="Marketing"/>
    <n v="1"/>
    <n v="100"/>
    <x v="1"/>
    <s v="Male"/>
    <n v="32"/>
    <n v="2"/>
    <n v="2"/>
    <x v="0"/>
    <x v="3"/>
    <s v="Single"/>
    <n v="4312"/>
    <n v="23016"/>
    <n v="0"/>
    <s v="Y"/>
    <x v="1"/>
    <n v="14"/>
    <n v="3"/>
    <n v="2"/>
    <n v="80"/>
    <n v="0"/>
    <n v="16"/>
    <n v="2"/>
    <x v="1"/>
    <x v="15"/>
    <n v="13"/>
    <n v="2"/>
    <n v="8"/>
  </r>
  <r>
    <n v="45"/>
    <x v="1"/>
    <s v="Travel_Rarely"/>
    <n v="193"/>
    <x v="1"/>
    <n v="6"/>
    <n v="4"/>
    <s v="Other"/>
    <n v="1"/>
    <n v="101"/>
    <x v="2"/>
    <s v="Male"/>
    <n v="52"/>
    <n v="3"/>
    <n v="3"/>
    <x v="7"/>
    <x v="3"/>
    <s v="Married"/>
    <n v="13245"/>
    <n v="15067"/>
    <n v="4"/>
    <s v="Y"/>
    <x v="0"/>
    <n v="14"/>
    <n v="3"/>
    <n v="2"/>
    <n v="80"/>
    <n v="0"/>
    <n v="17"/>
    <n v="3"/>
    <x v="3"/>
    <x v="2"/>
    <n v="0"/>
    <n v="0"/>
    <n v="0"/>
  </r>
  <r>
    <n v="37"/>
    <x v="1"/>
    <s v="Travel_Rarely"/>
    <n v="397"/>
    <x v="1"/>
    <n v="7"/>
    <n v="4"/>
    <s v="Medical"/>
    <n v="1"/>
    <n v="102"/>
    <x v="3"/>
    <s v="Male"/>
    <n v="30"/>
    <n v="3"/>
    <n v="3"/>
    <x v="7"/>
    <x v="2"/>
    <s v="Single"/>
    <n v="13664"/>
    <n v="25258"/>
    <n v="4"/>
    <s v="Y"/>
    <x v="1"/>
    <n v="13"/>
    <n v="3"/>
    <n v="1"/>
    <n v="80"/>
    <n v="0"/>
    <n v="16"/>
    <n v="3"/>
    <x v="3"/>
    <x v="8"/>
    <n v="2"/>
    <n v="0"/>
    <n v="2"/>
  </r>
  <r>
    <n v="46"/>
    <x v="1"/>
    <s v="Travel_Rarely"/>
    <n v="945"/>
    <x v="2"/>
    <n v="5"/>
    <n v="2"/>
    <s v="Medical"/>
    <n v="1"/>
    <n v="103"/>
    <x v="0"/>
    <s v="Male"/>
    <n v="80"/>
    <n v="3"/>
    <n v="2"/>
    <x v="8"/>
    <x v="1"/>
    <s v="Divorced"/>
    <n v="5021"/>
    <n v="10425"/>
    <n v="8"/>
    <s v="Y"/>
    <x v="0"/>
    <n v="22"/>
    <n v="4"/>
    <n v="4"/>
    <n v="80"/>
    <n v="1"/>
    <n v="16"/>
    <n v="2"/>
    <x v="1"/>
    <x v="9"/>
    <n v="2"/>
    <n v="0"/>
    <n v="2"/>
  </r>
  <r>
    <n v="30"/>
    <x v="1"/>
    <s v="Travel_Rarely"/>
    <n v="852"/>
    <x v="1"/>
    <n v="1"/>
    <n v="1"/>
    <s v="Life Sciences"/>
    <n v="1"/>
    <n v="104"/>
    <x v="2"/>
    <s v="Male"/>
    <n v="55"/>
    <n v="2"/>
    <n v="2"/>
    <x v="2"/>
    <x v="0"/>
    <s v="Married"/>
    <n v="5126"/>
    <n v="15998"/>
    <n v="1"/>
    <s v="Y"/>
    <x v="0"/>
    <n v="12"/>
    <n v="3"/>
    <n v="3"/>
    <n v="80"/>
    <n v="2"/>
    <n v="10"/>
    <n v="1"/>
    <x v="2"/>
    <x v="1"/>
    <n v="8"/>
    <n v="3"/>
    <n v="0"/>
  </r>
  <r>
    <n v="35"/>
    <x v="1"/>
    <s v="Travel_Rarely"/>
    <n v="1214"/>
    <x v="1"/>
    <n v="1"/>
    <n v="3"/>
    <s v="Medical"/>
    <n v="1"/>
    <n v="105"/>
    <x v="0"/>
    <s v="Male"/>
    <n v="30"/>
    <n v="2"/>
    <n v="1"/>
    <x v="1"/>
    <x v="2"/>
    <s v="Single"/>
    <n v="2859"/>
    <n v="26278"/>
    <n v="1"/>
    <s v="Y"/>
    <x v="1"/>
    <n v="18"/>
    <n v="3"/>
    <n v="1"/>
    <n v="80"/>
    <n v="0"/>
    <n v="6"/>
    <n v="3"/>
    <x v="1"/>
    <x v="0"/>
    <n v="4"/>
    <n v="0"/>
    <n v="4"/>
  </r>
  <r>
    <n v="55"/>
    <x v="1"/>
    <s v="Travel_Rarely"/>
    <n v="111"/>
    <x v="0"/>
    <n v="1"/>
    <n v="2"/>
    <s v="Life Sciences"/>
    <n v="1"/>
    <n v="106"/>
    <x v="3"/>
    <s v="Male"/>
    <n v="70"/>
    <n v="3"/>
    <n v="3"/>
    <x v="0"/>
    <x v="0"/>
    <s v="Married"/>
    <n v="10239"/>
    <n v="18092"/>
    <n v="3"/>
    <s v="Y"/>
    <x v="1"/>
    <n v="14"/>
    <n v="3"/>
    <n v="4"/>
    <n v="80"/>
    <n v="1"/>
    <n v="24"/>
    <n v="4"/>
    <x v="1"/>
    <x v="6"/>
    <n v="0"/>
    <n v="1"/>
    <n v="0"/>
  </r>
  <r>
    <n v="38"/>
    <x v="1"/>
    <s v="Non-Travel"/>
    <n v="573"/>
    <x v="1"/>
    <n v="6"/>
    <n v="3"/>
    <s v="Medical"/>
    <n v="1"/>
    <n v="107"/>
    <x v="0"/>
    <s v="Female"/>
    <n v="79"/>
    <n v="1"/>
    <n v="2"/>
    <x v="1"/>
    <x v="0"/>
    <s v="Divorced"/>
    <n v="5329"/>
    <n v="15717"/>
    <n v="7"/>
    <s v="Y"/>
    <x v="0"/>
    <n v="12"/>
    <n v="3"/>
    <n v="4"/>
    <n v="80"/>
    <n v="3"/>
    <n v="17"/>
    <n v="3"/>
    <x v="1"/>
    <x v="20"/>
    <n v="11"/>
    <n v="1"/>
    <n v="9"/>
  </r>
  <r>
    <n v="34"/>
    <x v="1"/>
    <s v="Travel_Rarely"/>
    <n v="1153"/>
    <x v="1"/>
    <n v="1"/>
    <n v="2"/>
    <s v="Medical"/>
    <n v="1"/>
    <n v="110"/>
    <x v="3"/>
    <s v="Male"/>
    <n v="94"/>
    <n v="3"/>
    <n v="2"/>
    <x v="3"/>
    <x v="1"/>
    <s v="Married"/>
    <n v="4325"/>
    <n v="17736"/>
    <n v="1"/>
    <s v="Y"/>
    <x v="1"/>
    <n v="15"/>
    <n v="3"/>
    <n v="3"/>
    <n v="80"/>
    <n v="0"/>
    <n v="5"/>
    <n v="2"/>
    <x v="1"/>
    <x v="8"/>
    <n v="2"/>
    <n v="1"/>
    <n v="3"/>
  </r>
  <r>
    <n v="56"/>
    <x v="1"/>
    <s v="Travel_Rarely"/>
    <n v="1400"/>
    <x v="1"/>
    <n v="7"/>
    <n v="3"/>
    <s v="Life Sciences"/>
    <n v="1"/>
    <n v="112"/>
    <x v="2"/>
    <s v="Male"/>
    <n v="49"/>
    <n v="1"/>
    <n v="3"/>
    <x v="3"/>
    <x v="0"/>
    <s v="Single"/>
    <n v="7260"/>
    <n v="21698"/>
    <n v="4"/>
    <s v="Y"/>
    <x v="1"/>
    <n v="11"/>
    <n v="3"/>
    <n v="1"/>
    <n v="80"/>
    <n v="0"/>
    <n v="37"/>
    <n v="3"/>
    <x v="2"/>
    <x v="0"/>
    <n v="4"/>
    <n v="0"/>
    <n v="2"/>
  </r>
  <r>
    <n v="23"/>
    <x v="1"/>
    <s v="Travel_Rarely"/>
    <n v="541"/>
    <x v="0"/>
    <n v="2"/>
    <n v="1"/>
    <s v="Technical Degree"/>
    <n v="1"/>
    <n v="113"/>
    <x v="1"/>
    <s v="Male"/>
    <n v="62"/>
    <n v="3"/>
    <n v="1"/>
    <x v="6"/>
    <x v="3"/>
    <s v="Divorced"/>
    <n v="2322"/>
    <n v="9518"/>
    <n v="3"/>
    <s v="Y"/>
    <x v="1"/>
    <n v="13"/>
    <n v="3"/>
    <n v="3"/>
    <n v="80"/>
    <n v="1"/>
    <n v="3"/>
    <n v="3"/>
    <x v="1"/>
    <x v="2"/>
    <n v="0"/>
    <n v="0"/>
    <n v="0"/>
  </r>
  <r>
    <n v="51"/>
    <x v="1"/>
    <s v="Travel_Rarely"/>
    <n v="432"/>
    <x v="1"/>
    <n v="9"/>
    <n v="4"/>
    <s v="Life Sciences"/>
    <n v="1"/>
    <n v="116"/>
    <x v="2"/>
    <s v="Male"/>
    <n v="96"/>
    <n v="3"/>
    <n v="1"/>
    <x v="2"/>
    <x v="0"/>
    <s v="Married"/>
    <n v="2075"/>
    <n v="18725"/>
    <n v="3"/>
    <s v="Y"/>
    <x v="1"/>
    <n v="23"/>
    <n v="4"/>
    <n v="2"/>
    <n v="80"/>
    <n v="2"/>
    <n v="10"/>
    <n v="4"/>
    <x v="1"/>
    <x v="9"/>
    <n v="2"/>
    <n v="0"/>
    <n v="3"/>
  </r>
  <r>
    <n v="30"/>
    <x v="1"/>
    <s v="Travel_Rarely"/>
    <n v="288"/>
    <x v="1"/>
    <n v="2"/>
    <n v="3"/>
    <s v="Life Sciences"/>
    <n v="1"/>
    <n v="117"/>
    <x v="1"/>
    <s v="Male"/>
    <n v="99"/>
    <n v="2"/>
    <n v="2"/>
    <x v="4"/>
    <x v="0"/>
    <s v="Married"/>
    <n v="4152"/>
    <n v="15830"/>
    <n v="1"/>
    <s v="Y"/>
    <x v="1"/>
    <n v="19"/>
    <n v="3"/>
    <n v="1"/>
    <n v="80"/>
    <n v="3"/>
    <n v="11"/>
    <n v="3"/>
    <x v="1"/>
    <x v="19"/>
    <n v="10"/>
    <n v="10"/>
    <n v="8"/>
  </r>
  <r>
    <n v="46"/>
    <x v="0"/>
    <s v="Travel_Rarely"/>
    <n v="669"/>
    <x v="0"/>
    <n v="9"/>
    <n v="2"/>
    <s v="Medical"/>
    <n v="1"/>
    <n v="118"/>
    <x v="1"/>
    <s v="Male"/>
    <n v="64"/>
    <n v="2"/>
    <n v="3"/>
    <x v="0"/>
    <x v="0"/>
    <s v="Single"/>
    <n v="9619"/>
    <n v="13596"/>
    <n v="1"/>
    <s v="Y"/>
    <x v="1"/>
    <n v="16"/>
    <n v="3"/>
    <n v="4"/>
    <n v="80"/>
    <n v="0"/>
    <n v="9"/>
    <n v="3"/>
    <x v="1"/>
    <x v="7"/>
    <n v="8"/>
    <n v="4"/>
    <n v="7"/>
  </r>
  <r>
    <n v="40"/>
    <x v="1"/>
    <s v="Travel_Frequently"/>
    <n v="530"/>
    <x v="1"/>
    <n v="1"/>
    <n v="4"/>
    <s v="Life Sciences"/>
    <n v="1"/>
    <n v="119"/>
    <x v="1"/>
    <s v="Male"/>
    <n v="78"/>
    <n v="2"/>
    <n v="4"/>
    <x v="4"/>
    <x v="1"/>
    <s v="Married"/>
    <n v="13503"/>
    <n v="14115"/>
    <n v="1"/>
    <s v="Y"/>
    <x v="1"/>
    <n v="22"/>
    <n v="4"/>
    <n v="4"/>
    <n v="80"/>
    <n v="1"/>
    <n v="22"/>
    <n v="3"/>
    <x v="2"/>
    <x v="14"/>
    <n v="3"/>
    <n v="11"/>
    <n v="11"/>
  </r>
  <r>
    <n v="51"/>
    <x v="1"/>
    <s v="Travel_Rarely"/>
    <n v="632"/>
    <x v="0"/>
    <n v="21"/>
    <n v="4"/>
    <s v="Marketing"/>
    <n v="1"/>
    <n v="120"/>
    <x v="1"/>
    <s v="Male"/>
    <n v="71"/>
    <n v="3"/>
    <n v="2"/>
    <x v="0"/>
    <x v="0"/>
    <s v="Single"/>
    <n v="5441"/>
    <n v="8423"/>
    <n v="0"/>
    <s v="Y"/>
    <x v="0"/>
    <n v="22"/>
    <n v="4"/>
    <n v="4"/>
    <n v="80"/>
    <n v="0"/>
    <n v="11"/>
    <n v="2"/>
    <x v="0"/>
    <x v="1"/>
    <n v="7"/>
    <n v="1"/>
    <n v="0"/>
  </r>
  <r>
    <n v="30"/>
    <x v="1"/>
    <s v="Travel_Rarely"/>
    <n v="1334"/>
    <x v="0"/>
    <n v="4"/>
    <n v="2"/>
    <s v="Medical"/>
    <n v="1"/>
    <n v="121"/>
    <x v="1"/>
    <s v="Female"/>
    <n v="63"/>
    <n v="2"/>
    <n v="2"/>
    <x v="0"/>
    <x v="1"/>
    <s v="Divorced"/>
    <n v="5209"/>
    <n v="19760"/>
    <n v="1"/>
    <s v="Y"/>
    <x v="0"/>
    <n v="12"/>
    <n v="3"/>
    <n v="2"/>
    <n v="80"/>
    <n v="3"/>
    <n v="11"/>
    <n v="4"/>
    <x v="2"/>
    <x v="19"/>
    <n v="8"/>
    <n v="2"/>
    <n v="7"/>
  </r>
  <r>
    <n v="46"/>
    <x v="1"/>
    <s v="Travel_Frequently"/>
    <n v="638"/>
    <x v="1"/>
    <n v="1"/>
    <n v="3"/>
    <s v="Medical"/>
    <n v="1"/>
    <n v="124"/>
    <x v="1"/>
    <s v="Male"/>
    <n v="40"/>
    <n v="2"/>
    <n v="3"/>
    <x v="4"/>
    <x v="3"/>
    <s v="Married"/>
    <n v="10673"/>
    <n v="3142"/>
    <n v="2"/>
    <s v="Y"/>
    <x v="0"/>
    <n v="13"/>
    <n v="3"/>
    <n v="3"/>
    <n v="80"/>
    <n v="1"/>
    <n v="21"/>
    <n v="5"/>
    <x v="2"/>
    <x v="1"/>
    <n v="9"/>
    <n v="9"/>
    <n v="5"/>
  </r>
  <r>
    <n v="32"/>
    <x v="1"/>
    <s v="Travel_Rarely"/>
    <n v="1093"/>
    <x v="0"/>
    <n v="6"/>
    <n v="4"/>
    <s v="Medical"/>
    <n v="1"/>
    <n v="125"/>
    <x v="0"/>
    <s v="Male"/>
    <n v="87"/>
    <n v="3"/>
    <n v="2"/>
    <x v="0"/>
    <x v="2"/>
    <s v="Single"/>
    <n v="5010"/>
    <n v="24301"/>
    <n v="1"/>
    <s v="Y"/>
    <x v="1"/>
    <n v="16"/>
    <n v="3"/>
    <n v="1"/>
    <n v="80"/>
    <n v="0"/>
    <n v="12"/>
    <n v="0"/>
    <x v="1"/>
    <x v="19"/>
    <n v="8"/>
    <n v="5"/>
    <n v="7"/>
  </r>
  <r>
    <n v="54"/>
    <x v="1"/>
    <s v="Travel_Rarely"/>
    <n v="1217"/>
    <x v="1"/>
    <n v="2"/>
    <n v="4"/>
    <s v="Technical Degree"/>
    <n v="1"/>
    <n v="126"/>
    <x v="3"/>
    <s v="Female"/>
    <n v="60"/>
    <n v="3"/>
    <n v="3"/>
    <x v="7"/>
    <x v="2"/>
    <s v="Married"/>
    <n v="13549"/>
    <n v="24001"/>
    <n v="9"/>
    <s v="Y"/>
    <x v="1"/>
    <n v="12"/>
    <n v="3"/>
    <n v="1"/>
    <n v="80"/>
    <n v="1"/>
    <n v="16"/>
    <n v="5"/>
    <x v="0"/>
    <x v="9"/>
    <n v="3"/>
    <n v="0"/>
    <n v="3"/>
  </r>
  <r>
    <n v="24"/>
    <x v="1"/>
    <s v="Travel_Rarely"/>
    <n v="1353"/>
    <x v="0"/>
    <n v="3"/>
    <n v="2"/>
    <s v="Other"/>
    <n v="1"/>
    <n v="128"/>
    <x v="3"/>
    <s v="Female"/>
    <n v="33"/>
    <n v="3"/>
    <n v="2"/>
    <x v="0"/>
    <x v="2"/>
    <s v="Married"/>
    <n v="4999"/>
    <n v="17519"/>
    <n v="0"/>
    <s v="Y"/>
    <x v="1"/>
    <n v="21"/>
    <n v="4"/>
    <n v="1"/>
    <n v="80"/>
    <n v="1"/>
    <n v="4"/>
    <n v="2"/>
    <x v="2"/>
    <x v="11"/>
    <n v="2"/>
    <n v="0"/>
    <n v="2"/>
  </r>
  <r>
    <n v="28"/>
    <x v="1"/>
    <s v="Non-Travel"/>
    <n v="120"/>
    <x v="0"/>
    <n v="4"/>
    <n v="3"/>
    <s v="Medical"/>
    <n v="1"/>
    <n v="129"/>
    <x v="0"/>
    <s v="Male"/>
    <n v="43"/>
    <n v="3"/>
    <n v="2"/>
    <x v="0"/>
    <x v="2"/>
    <s v="Married"/>
    <n v="4221"/>
    <n v="8863"/>
    <n v="1"/>
    <s v="Y"/>
    <x v="1"/>
    <n v="15"/>
    <n v="3"/>
    <n v="2"/>
    <n v="80"/>
    <n v="0"/>
    <n v="5"/>
    <n v="3"/>
    <x v="3"/>
    <x v="8"/>
    <n v="4"/>
    <n v="0"/>
    <n v="4"/>
  </r>
  <r>
    <n v="58"/>
    <x v="1"/>
    <s v="Travel_Rarely"/>
    <n v="682"/>
    <x v="0"/>
    <n v="10"/>
    <n v="4"/>
    <s v="Medical"/>
    <n v="1"/>
    <n v="131"/>
    <x v="2"/>
    <s v="Male"/>
    <n v="37"/>
    <n v="3"/>
    <n v="4"/>
    <x v="0"/>
    <x v="2"/>
    <s v="Single"/>
    <n v="13872"/>
    <n v="24409"/>
    <n v="0"/>
    <s v="Y"/>
    <x v="1"/>
    <n v="13"/>
    <n v="3"/>
    <n v="3"/>
    <n v="80"/>
    <n v="0"/>
    <n v="38"/>
    <n v="1"/>
    <x v="2"/>
    <x v="21"/>
    <n v="10"/>
    <n v="1"/>
    <n v="8"/>
  </r>
  <r>
    <n v="44"/>
    <x v="1"/>
    <s v="Non-Travel"/>
    <n v="489"/>
    <x v="1"/>
    <n v="23"/>
    <n v="3"/>
    <s v="Medical"/>
    <n v="1"/>
    <n v="132"/>
    <x v="0"/>
    <s v="Male"/>
    <n v="67"/>
    <n v="3"/>
    <n v="2"/>
    <x v="2"/>
    <x v="1"/>
    <s v="Married"/>
    <n v="2042"/>
    <n v="25043"/>
    <n v="4"/>
    <s v="Y"/>
    <x v="1"/>
    <n v="12"/>
    <n v="3"/>
    <n v="3"/>
    <n v="80"/>
    <n v="1"/>
    <n v="17"/>
    <n v="3"/>
    <x v="3"/>
    <x v="11"/>
    <n v="2"/>
    <n v="1"/>
    <n v="2"/>
  </r>
  <r>
    <n v="37"/>
    <x v="0"/>
    <s v="Travel_Rarely"/>
    <n v="807"/>
    <x v="2"/>
    <n v="6"/>
    <n v="4"/>
    <s v="Human Resources"/>
    <n v="1"/>
    <n v="133"/>
    <x v="1"/>
    <s v="Male"/>
    <n v="63"/>
    <n v="3"/>
    <n v="1"/>
    <x v="8"/>
    <x v="3"/>
    <s v="Divorced"/>
    <n v="2073"/>
    <n v="23648"/>
    <n v="4"/>
    <s v="Y"/>
    <x v="0"/>
    <n v="22"/>
    <n v="4"/>
    <n v="4"/>
    <n v="80"/>
    <n v="0"/>
    <n v="7"/>
    <n v="3"/>
    <x v="1"/>
    <x v="11"/>
    <n v="2"/>
    <n v="0"/>
    <n v="2"/>
  </r>
  <r>
    <n v="32"/>
    <x v="1"/>
    <s v="Travel_Rarely"/>
    <n v="827"/>
    <x v="1"/>
    <n v="1"/>
    <n v="1"/>
    <s v="Life Sciences"/>
    <n v="1"/>
    <n v="134"/>
    <x v="2"/>
    <s v="Male"/>
    <n v="71"/>
    <n v="3"/>
    <n v="1"/>
    <x v="1"/>
    <x v="3"/>
    <s v="Single"/>
    <n v="2956"/>
    <n v="15178"/>
    <n v="1"/>
    <s v="Y"/>
    <x v="1"/>
    <n v="13"/>
    <n v="3"/>
    <n v="4"/>
    <n v="80"/>
    <n v="0"/>
    <n v="1"/>
    <n v="2"/>
    <x v="1"/>
    <x v="6"/>
    <n v="0"/>
    <n v="0"/>
    <n v="0"/>
  </r>
  <r>
    <n v="20"/>
    <x v="0"/>
    <s v="Travel_Frequently"/>
    <n v="871"/>
    <x v="1"/>
    <n v="6"/>
    <n v="3"/>
    <s v="Life Sciences"/>
    <n v="1"/>
    <n v="137"/>
    <x v="2"/>
    <s v="Female"/>
    <n v="66"/>
    <n v="2"/>
    <n v="1"/>
    <x v="2"/>
    <x v="0"/>
    <s v="Single"/>
    <n v="2926"/>
    <n v="19783"/>
    <n v="1"/>
    <s v="Y"/>
    <x v="0"/>
    <n v="18"/>
    <n v="3"/>
    <n v="2"/>
    <n v="80"/>
    <n v="0"/>
    <n v="1"/>
    <n v="5"/>
    <x v="1"/>
    <x v="6"/>
    <n v="0"/>
    <n v="1"/>
    <n v="0"/>
  </r>
  <r>
    <n v="34"/>
    <x v="1"/>
    <s v="Travel_Rarely"/>
    <n v="665"/>
    <x v="1"/>
    <n v="6"/>
    <n v="4"/>
    <s v="Other"/>
    <n v="1"/>
    <n v="138"/>
    <x v="3"/>
    <s v="Female"/>
    <n v="41"/>
    <n v="3"/>
    <n v="2"/>
    <x v="1"/>
    <x v="2"/>
    <s v="Single"/>
    <n v="4809"/>
    <n v="12482"/>
    <n v="1"/>
    <s v="Y"/>
    <x v="1"/>
    <n v="14"/>
    <n v="3"/>
    <n v="3"/>
    <n v="80"/>
    <n v="0"/>
    <n v="16"/>
    <n v="3"/>
    <x v="1"/>
    <x v="22"/>
    <n v="13"/>
    <n v="2"/>
    <n v="10"/>
  </r>
  <r>
    <n v="37"/>
    <x v="1"/>
    <s v="Non-Travel"/>
    <n v="1040"/>
    <x v="1"/>
    <n v="2"/>
    <n v="2"/>
    <s v="Life Sciences"/>
    <n v="1"/>
    <n v="139"/>
    <x v="1"/>
    <s v="Male"/>
    <n v="100"/>
    <n v="2"/>
    <n v="2"/>
    <x v="4"/>
    <x v="0"/>
    <s v="Divorced"/>
    <n v="5163"/>
    <n v="15850"/>
    <n v="5"/>
    <s v="Y"/>
    <x v="1"/>
    <n v="14"/>
    <n v="3"/>
    <n v="4"/>
    <n v="80"/>
    <n v="1"/>
    <n v="17"/>
    <n v="2"/>
    <x v="3"/>
    <x v="6"/>
    <n v="0"/>
    <n v="0"/>
    <n v="0"/>
  </r>
  <r>
    <n v="59"/>
    <x v="1"/>
    <s v="Non-Travel"/>
    <n v="1420"/>
    <x v="2"/>
    <n v="2"/>
    <n v="4"/>
    <s v="Human Resources"/>
    <n v="1"/>
    <n v="140"/>
    <x v="1"/>
    <s v="Female"/>
    <n v="32"/>
    <n v="2"/>
    <n v="5"/>
    <x v="5"/>
    <x v="0"/>
    <s v="Married"/>
    <n v="18844"/>
    <n v="21922"/>
    <n v="9"/>
    <s v="Y"/>
    <x v="1"/>
    <n v="21"/>
    <n v="4"/>
    <n v="4"/>
    <n v="80"/>
    <n v="1"/>
    <n v="30"/>
    <n v="3"/>
    <x v="1"/>
    <x v="11"/>
    <n v="2"/>
    <n v="2"/>
    <n v="2"/>
  </r>
  <r>
    <n v="50"/>
    <x v="1"/>
    <s v="Travel_Frequently"/>
    <n v="1115"/>
    <x v="1"/>
    <n v="1"/>
    <n v="3"/>
    <s v="Life Sciences"/>
    <n v="1"/>
    <n v="141"/>
    <x v="3"/>
    <s v="Female"/>
    <n v="73"/>
    <n v="3"/>
    <n v="5"/>
    <x v="7"/>
    <x v="1"/>
    <s v="Married"/>
    <n v="18172"/>
    <n v="9755"/>
    <n v="3"/>
    <s v="Y"/>
    <x v="0"/>
    <n v="19"/>
    <n v="3"/>
    <n v="1"/>
    <n v="80"/>
    <n v="0"/>
    <n v="28"/>
    <n v="1"/>
    <x v="2"/>
    <x v="3"/>
    <n v="3"/>
    <n v="0"/>
    <n v="7"/>
  </r>
  <r>
    <n v="25"/>
    <x v="0"/>
    <s v="Travel_Rarely"/>
    <n v="240"/>
    <x v="0"/>
    <n v="5"/>
    <n v="3"/>
    <s v="Marketing"/>
    <n v="1"/>
    <n v="142"/>
    <x v="1"/>
    <s v="Male"/>
    <n v="46"/>
    <n v="2"/>
    <n v="2"/>
    <x v="0"/>
    <x v="2"/>
    <s v="Single"/>
    <n v="5744"/>
    <n v="26959"/>
    <n v="1"/>
    <s v="Y"/>
    <x v="0"/>
    <n v="11"/>
    <n v="3"/>
    <n v="4"/>
    <n v="80"/>
    <n v="0"/>
    <n v="6"/>
    <n v="1"/>
    <x v="1"/>
    <x v="0"/>
    <n v="4"/>
    <n v="0"/>
    <n v="3"/>
  </r>
  <r>
    <n v="25"/>
    <x v="1"/>
    <s v="Travel_Rarely"/>
    <n v="1280"/>
    <x v="1"/>
    <n v="7"/>
    <n v="1"/>
    <s v="Medical"/>
    <n v="1"/>
    <n v="143"/>
    <x v="2"/>
    <s v="Male"/>
    <n v="64"/>
    <n v="2"/>
    <n v="1"/>
    <x v="1"/>
    <x v="0"/>
    <s v="Married"/>
    <n v="2889"/>
    <n v="26897"/>
    <n v="1"/>
    <s v="Y"/>
    <x v="1"/>
    <n v="11"/>
    <n v="3"/>
    <n v="3"/>
    <n v="80"/>
    <n v="2"/>
    <n v="2"/>
    <n v="2"/>
    <x v="1"/>
    <x v="4"/>
    <n v="2"/>
    <n v="2"/>
    <n v="1"/>
  </r>
  <r>
    <n v="22"/>
    <x v="1"/>
    <s v="Travel_Rarely"/>
    <n v="534"/>
    <x v="1"/>
    <n v="15"/>
    <n v="3"/>
    <s v="Medical"/>
    <n v="1"/>
    <n v="144"/>
    <x v="0"/>
    <s v="Female"/>
    <n v="59"/>
    <n v="3"/>
    <n v="1"/>
    <x v="2"/>
    <x v="0"/>
    <s v="Single"/>
    <n v="2871"/>
    <n v="23785"/>
    <n v="1"/>
    <s v="Y"/>
    <x v="1"/>
    <n v="15"/>
    <n v="3"/>
    <n v="3"/>
    <n v="80"/>
    <n v="0"/>
    <n v="1"/>
    <n v="5"/>
    <x v="1"/>
    <x v="2"/>
    <n v="0"/>
    <n v="0"/>
    <n v="0"/>
  </r>
  <r>
    <n v="51"/>
    <x v="1"/>
    <s v="Travel_Frequently"/>
    <n v="1456"/>
    <x v="1"/>
    <n v="1"/>
    <n v="4"/>
    <s v="Medical"/>
    <n v="1"/>
    <n v="145"/>
    <x v="3"/>
    <s v="Female"/>
    <n v="30"/>
    <n v="2"/>
    <n v="3"/>
    <x v="4"/>
    <x v="3"/>
    <s v="Single"/>
    <n v="7484"/>
    <n v="25796"/>
    <n v="3"/>
    <s v="Y"/>
    <x v="1"/>
    <n v="20"/>
    <n v="4"/>
    <n v="3"/>
    <n v="80"/>
    <n v="0"/>
    <n v="23"/>
    <n v="1"/>
    <x v="2"/>
    <x v="20"/>
    <n v="12"/>
    <n v="12"/>
    <n v="8"/>
  </r>
  <r>
    <n v="34"/>
    <x v="0"/>
    <s v="Travel_Frequently"/>
    <n v="658"/>
    <x v="1"/>
    <n v="7"/>
    <n v="3"/>
    <s v="Life Sciences"/>
    <n v="1"/>
    <n v="147"/>
    <x v="3"/>
    <s v="Male"/>
    <n v="66"/>
    <n v="1"/>
    <n v="2"/>
    <x v="2"/>
    <x v="2"/>
    <s v="Single"/>
    <n v="6074"/>
    <n v="22887"/>
    <n v="1"/>
    <s v="Y"/>
    <x v="0"/>
    <n v="24"/>
    <n v="4"/>
    <n v="4"/>
    <n v="80"/>
    <n v="0"/>
    <n v="9"/>
    <n v="3"/>
    <x v="1"/>
    <x v="7"/>
    <n v="7"/>
    <n v="0"/>
    <n v="6"/>
  </r>
  <r>
    <n v="54"/>
    <x v="1"/>
    <s v="Non-Travel"/>
    <n v="142"/>
    <x v="2"/>
    <n v="26"/>
    <n v="3"/>
    <s v="Human Resources"/>
    <n v="1"/>
    <n v="148"/>
    <x v="2"/>
    <s v="Female"/>
    <n v="30"/>
    <n v="4"/>
    <n v="4"/>
    <x v="5"/>
    <x v="0"/>
    <s v="Single"/>
    <n v="17328"/>
    <n v="13871"/>
    <n v="2"/>
    <s v="Y"/>
    <x v="0"/>
    <n v="12"/>
    <n v="3"/>
    <n v="3"/>
    <n v="80"/>
    <n v="0"/>
    <n v="23"/>
    <n v="3"/>
    <x v="1"/>
    <x v="8"/>
    <n v="3"/>
    <n v="4"/>
    <n v="4"/>
  </r>
  <r>
    <n v="24"/>
    <x v="1"/>
    <s v="Travel_Rarely"/>
    <n v="1127"/>
    <x v="1"/>
    <n v="18"/>
    <n v="1"/>
    <s v="Life Sciences"/>
    <n v="1"/>
    <n v="150"/>
    <x v="0"/>
    <s v="Male"/>
    <n v="52"/>
    <n v="3"/>
    <n v="1"/>
    <x v="2"/>
    <x v="2"/>
    <s v="Married"/>
    <n v="2774"/>
    <n v="13257"/>
    <n v="0"/>
    <s v="Y"/>
    <x v="1"/>
    <n v="12"/>
    <n v="3"/>
    <n v="3"/>
    <n v="80"/>
    <n v="1"/>
    <n v="6"/>
    <n v="2"/>
    <x v="1"/>
    <x v="8"/>
    <n v="3"/>
    <n v="1"/>
    <n v="2"/>
  </r>
  <r>
    <n v="34"/>
    <x v="1"/>
    <s v="Travel_Rarely"/>
    <n v="1031"/>
    <x v="1"/>
    <n v="6"/>
    <n v="4"/>
    <s v="Life Sciences"/>
    <n v="1"/>
    <n v="151"/>
    <x v="1"/>
    <s v="Female"/>
    <n v="45"/>
    <n v="2"/>
    <n v="2"/>
    <x v="1"/>
    <x v="1"/>
    <s v="Divorced"/>
    <n v="4505"/>
    <n v="15000"/>
    <n v="6"/>
    <s v="Y"/>
    <x v="1"/>
    <n v="15"/>
    <n v="3"/>
    <n v="3"/>
    <n v="80"/>
    <n v="1"/>
    <n v="12"/>
    <n v="3"/>
    <x v="1"/>
    <x v="6"/>
    <n v="0"/>
    <n v="0"/>
    <n v="0"/>
  </r>
  <r>
    <n v="37"/>
    <x v="1"/>
    <s v="Travel_Rarely"/>
    <n v="1189"/>
    <x v="0"/>
    <n v="3"/>
    <n v="3"/>
    <s v="Life Sciences"/>
    <n v="1"/>
    <n v="152"/>
    <x v="1"/>
    <s v="Male"/>
    <n v="87"/>
    <n v="3"/>
    <n v="3"/>
    <x v="0"/>
    <x v="0"/>
    <s v="Single"/>
    <n v="7428"/>
    <n v="14506"/>
    <n v="2"/>
    <s v="Y"/>
    <x v="1"/>
    <n v="12"/>
    <n v="3"/>
    <n v="1"/>
    <n v="80"/>
    <n v="0"/>
    <n v="12"/>
    <n v="3"/>
    <x v="1"/>
    <x v="8"/>
    <n v="3"/>
    <n v="1"/>
    <n v="3"/>
  </r>
  <r>
    <n v="34"/>
    <x v="1"/>
    <s v="Travel_Rarely"/>
    <n v="1354"/>
    <x v="1"/>
    <n v="5"/>
    <n v="3"/>
    <s v="Medical"/>
    <n v="1"/>
    <n v="153"/>
    <x v="1"/>
    <s v="Female"/>
    <n v="45"/>
    <n v="2"/>
    <n v="3"/>
    <x v="5"/>
    <x v="3"/>
    <s v="Single"/>
    <n v="11631"/>
    <n v="5615"/>
    <n v="2"/>
    <s v="Y"/>
    <x v="1"/>
    <n v="12"/>
    <n v="3"/>
    <n v="4"/>
    <n v="80"/>
    <n v="0"/>
    <n v="14"/>
    <n v="6"/>
    <x v="1"/>
    <x v="19"/>
    <n v="10"/>
    <n v="5"/>
    <n v="8"/>
  </r>
  <r>
    <n v="36"/>
    <x v="1"/>
    <s v="Travel_Frequently"/>
    <n v="1467"/>
    <x v="0"/>
    <n v="11"/>
    <n v="2"/>
    <s v="Technical Degree"/>
    <n v="1"/>
    <n v="154"/>
    <x v="0"/>
    <s v="Female"/>
    <n v="92"/>
    <n v="3"/>
    <n v="3"/>
    <x v="0"/>
    <x v="0"/>
    <s v="Married"/>
    <n v="9738"/>
    <n v="22952"/>
    <n v="0"/>
    <s v="Y"/>
    <x v="1"/>
    <n v="14"/>
    <n v="3"/>
    <n v="3"/>
    <n v="80"/>
    <n v="1"/>
    <n v="10"/>
    <n v="6"/>
    <x v="1"/>
    <x v="7"/>
    <n v="7"/>
    <n v="2"/>
    <n v="8"/>
  </r>
  <r>
    <n v="36"/>
    <x v="1"/>
    <s v="Travel_Rarely"/>
    <n v="922"/>
    <x v="1"/>
    <n v="3"/>
    <n v="2"/>
    <s v="Life Sciences"/>
    <n v="1"/>
    <n v="155"/>
    <x v="3"/>
    <s v="Female"/>
    <n v="39"/>
    <n v="3"/>
    <n v="1"/>
    <x v="2"/>
    <x v="0"/>
    <s v="Divorced"/>
    <n v="2835"/>
    <n v="2561"/>
    <n v="5"/>
    <s v="Y"/>
    <x v="1"/>
    <n v="22"/>
    <n v="4"/>
    <n v="1"/>
    <n v="80"/>
    <n v="1"/>
    <n v="7"/>
    <n v="2"/>
    <x v="1"/>
    <x v="6"/>
    <n v="0"/>
    <n v="0"/>
    <n v="0"/>
  </r>
  <r>
    <n v="43"/>
    <x v="1"/>
    <s v="Travel_Frequently"/>
    <n v="394"/>
    <x v="0"/>
    <n v="26"/>
    <n v="2"/>
    <s v="Life Sciences"/>
    <n v="1"/>
    <n v="158"/>
    <x v="1"/>
    <s v="Male"/>
    <n v="92"/>
    <n v="3"/>
    <n v="4"/>
    <x v="5"/>
    <x v="0"/>
    <s v="Married"/>
    <n v="16959"/>
    <n v="19494"/>
    <n v="1"/>
    <s v="Y"/>
    <x v="0"/>
    <n v="12"/>
    <n v="3"/>
    <n v="4"/>
    <n v="80"/>
    <n v="2"/>
    <n v="25"/>
    <n v="3"/>
    <x v="3"/>
    <x v="10"/>
    <n v="12"/>
    <n v="4"/>
    <n v="12"/>
  </r>
  <r>
    <n v="30"/>
    <x v="1"/>
    <s v="Travel_Frequently"/>
    <n v="1312"/>
    <x v="1"/>
    <n v="23"/>
    <n v="3"/>
    <s v="Life Sciences"/>
    <n v="1"/>
    <n v="159"/>
    <x v="3"/>
    <s v="Male"/>
    <n v="96"/>
    <n v="1"/>
    <n v="1"/>
    <x v="1"/>
    <x v="2"/>
    <s v="Divorced"/>
    <n v="2613"/>
    <n v="22310"/>
    <n v="1"/>
    <s v="Y"/>
    <x v="1"/>
    <n v="25"/>
    <n v="4"/>
    <n v="3"/>
    <n v="80"/>
    <n v="3"/>
    <n v="10"/>
    <n v="2"/>
    <x v="2"/>
    <x v="1"/>
    <n v="7"/>
    <n v="0"/>
    <n v="9"/>
  </r>
  <r>
    <n v="33"/>
    <x v="1"/>
    <s v="Non-Travel"/>
    <n v="750"/>
    <x v="0"/>
    <n v="22"/>
    <n v="2"/>
    <s v="Marketing"/>
    <n v="1"/>
    <n v="160"/>
    <x v="1"/>
    <s v="Male"/>
    <n v="95"/>
    <n v="3"/>
    <n v="2"/>
    <x v="0"/>
    <x v="1"/>
    <s v="Married"/>
    <n v="6146"/>
    <n v="15480"/>
    <n v="0"/>
    <s v="Y"/>
    <x v="1"/>
    <n v="13"/>
    <n v="3"/>
    <n v="1"/>
    <n v="80"/>
    <n v="1"/>
    <n v="8"/>
    <n v="2"/>
    <x v="3"/>
    <x v="5"/>
    <n v="7"/>
    <n v="0"/>
    <n v="7"/>
  </r>
  <r>
    <n v="56"/>
    <x v="0"/>
    <s v="Travel_Rarely"/>
    <n v="441"/>
    <x v="1"/>
    <n v="14"/>
    <n v="4"/>
    <s v="Life Sciences"/>
    <n v="1"/>
    <n v="161"/>
    <x v="0"/>
    <s v="Female"/>
    <n v="72"/>
    <n v="3"/>
    <n v="1"/>
    <x v="1"/>
    <x v="1"/>
    <s v="Married"/>
    <n v="4963"/>
    <n v="4510"/>
    <n v="9"/>
    <s v="Y"/>
    <x v="0"/>
    <n v="18"/>
    <n v="3"/>
    <n v="1"/>
    <n v="80"/>
    <n v="3"/>
    <n v="7"/>
    <n v="2"/>
    <x v="1"/>
    <x v="8"/>
    <n v="4"/>
    <n v="4"/>
    <n v="3"/>
  </r>
  <r>
    <n v="51"/>
    <x v="1"/>
    <s v="Travel_Rarely"/>
    <n v="684"/>
    <x v="1"/>
    <n v="6"/>
    <n v="3"/>
    <s v="Life Sciences"/>
    <n v="1"/>
    <n v="162"/>
    <x v="3"/>
    <s v="Male"/>
    <n v="51"/>
    <n v="3"/>
    <n v="5"/>
    <x v="7"/>
    <x v="2"/>
    <s v="Single"/>
    <n v="19537"/>
    <n v="6462"/>
    <n v="7"/>
    <s v="Y"/>
    <x v="1"/>
    <n v="13"/>
    <n v="3"/>
    <n v="3"/>
    <n v="80"/>
    <n v="0"/>
    <n v="23"/>
    <n v="5"/>
    <x v="1"/>
    <x v="23"/>
    <n v="18"/>
    <n v="15"/>
    <n v="15"/>
  </r>
  <r>
    <n v="31"/>
    <x v="0"/>
    <s v="Travel_Rarely"/>
    <n v="249"/>
    <x v="0"/>
    <n v="6"/>
    <n v="4"/>
    <s v="Life Sciences"/>
    <n v="1"/>
    <n v="163"/>
    <x v="0"/>
    <s v="Male"/>
    <n v="76"/>
    <n v="1"/>
    <n v="2"/>
    <x v="0"/>
    <x v="2"/>
    <s v="Married"/>
    <n v="6172"/>
    <n v="20739"/>
    <n v="4"/>
    <s v="Y"/>
    <x v="0"/>
    <n v="18"/>
    <n v="3"/>
    <n v="2"/>
    <n v="80"/>
    <n v="0"/>
    <n v="12"/>
    <n v="3"/>
    <x v="2"/>
    <x v="5"/>
    <n v="7"/>
    <n v="7"/>
    <n v="7"/>
  </r>
  <r>
    <n v="26"/>
    <x v="1"/>
    <s v="Travel_Rarely"/>
    <n v="841"/>
    <x v="1"/>
    <n v="6"/>
    <n v="3"/>
    <s v="Other"/>
    <n v="1"/>
    <n v="164"/>
    <x v="1"/>
    <s v="Female"/>
    <n v="46"/>
    <n v="2"/>
    <n v="1"/>
    <x v="1"/>
    <x v="1"/>
    <s v="Married"/>
    <n v="2368"/>
    <n v="23300"/>
    <n v="1"/>
    <s v="Y"/>
    <x v="1"/>
    <n v="19"/>
    <n v="3"/>
    <n v="3"/>
    <n v="80"/>
    <n v="0"/>
    <n v="5"/>
    <n v="3"/>
    <x v="2"/>
    <x v="8"/>
    <n v="4"/>
    <n v="4"/>
    <n v="3"/>
  </r>
  <r>
    <n v="58"/>
    <x v="0"/>
    <s v="Travel_Rarely"/>
    <n v="147"/>
    <x v="1"/>
    <n v="23"/>
    <n v="4"/>
    <s v="Medical"/>
    <n v="1"/>
    <n v="165"/>
    <x v="2"/>
    <s v="Female"/>
    <n v="94"/>
    <n v="3"/>
    <n v="3"/>
    <x v="4"/>
    <x v="0"/>
    <s v="Married"/>
    <n v="10312"/>
    <n v="3465"/>
    <n v="1"/>
    <s v="Y"/>
    <x v="1"/>
    <n v="12"/>
    <n v="3"/>
    <n v="4"/>
    <n v="80"/>
    <n v="1"/>
    <n v="40"/>
    <n v="3"/>
    <x v="2"/>
    <x v="24"/>
    <n v="10"/>
    <n v="15"/>
    <n v="6"/>
  </r>
  <r>
    <n v="19"/>
    <x v="0"/>
    <s v="Travel_Rarely"/>
    <n v="528"/>
    <x v="0"/>
    <n v="22"/>
    <n v="1"/>
    <s v="Marketing"/>
    <n v="1"/>
    <n v="167"/>
    <x v="2"/>
    <s v="Male"/>
    <n v="50"/>
    <n v="3"/>
    <n v="1"/>
    <x v="6"/>
    <x v="2"/>
    <s v="Single"/>
    <n v="1675"/>
    <n v="26820"/>
    <n v="1"/>
    <s v="Y"/>
    <x v="0"/>
    <n v="19"/>
    <n v="3"/>
    <n v="4"/>
    <n v="80"/>
    <n v="0"/>
    <n v="0"/>
    <n v="2"/>
    <x v="2"/>
    <x v="2"/>
    <n v="0"/>
    <n v="0"/>
    <n v="0"/>
  </r>
  <r>
    <n v="22"/>
    <x v="1"/>
    <s v="Travel_Rarely"/>
    <n v="594"/>
    <x v="1"/>
    <n v="2"/>
    <n v="1"/>
    <s v="Technical Degree"/>
    <n v="1"/>
    <n v="169"/>
    <x v="1"/>
    <s v="Male"/>
    <n v="100"/>
    <n v="3"/>
    <n v="1"/>
    <x v="2"/>
    <x v="0"/>
    <s v="Married"/>
    <n v="2523"/>
    <n v="19299"/>
    <n v="0"/>
    <s v="Y"/>
    <x v="1"/>
    <n v="14"/>
    <n v="3"/>
    <n v="3"/>
    <n v="80"/>
    <n v="1"/>
    <n v="3"/>
    <n v="2"/>
    <x v="1"/>
    <x v="4"/>
    <n v="1"/>
    <n v="2"/>
    <n v="1"/>
  </r>
  <r>
    <n v="49"/>
    <x v="1"/>
    <s v="Travel_Rarely"/>
    <n v="470"/>
    <x v="1"/>
    <n v="20"/>
    <n v="4"/>
    <s v="Medical"/>
    <n v="1"/>
    <n v="170"/>
    <x v="1"/>
    <s v="Female"/>
    <n v="96"/>
    <n v="3"/>
    <n v="2"/>
    <x v="3"/>
    <x v="3"/>
    <s v="Married"/>
    <n v="6567"/>
    <n v="5549"/>
    <n v="1"/>
    <s v="Y"/>
    <x v="1"/>
    <n v="14"/>
    <n v="3"/>
    <n v="3"/>
    <n v="80"/>
    <n v="0"/>
    <n v="16"/>
    <n v="2"/>
    <x v="2"/>
    <x v="15"/>
    <n v="11"/>
    <n v="5"/>
    <n v="11"/>
  </r>
  <r>
    <n v="43"/>
    <x v="1"/>
    <s v="Travel_Frequently"/>
    <n v="957"/>
    <x v="1"/>
    <n v="28"/>
    <n v="3"/>
    <s v="Medical"/>
    <n v="1"/>
    <n v="171"/>
    <x v="0"/>
    <s v="Female"/>
    <n v="72"/>
    <n v="4"/>
    <n v="1"/>
    <x v="1"/>
    <x v="2"/>
    <s v="Single"/>
    <n v="4739"/>
    <n v="16090"/>
    <n v="4"/>
    <s v="Y"/>
    <x v="1"/>
    <n v="12"/>
    <n v="3"/>
    <n v="4"/>
    <n v="80"/>
    <n v="0"/>
    <n v="18"/>
    <n v="2"/>
    <x v="1"/>
    <x v="11"/>
    <n v="2"/>
    <n v="1"/>
    <n v="2"/>
  </r>
  <r>
    <n v="50"/>
    <x v="1"/>
    <s v="Travel_Frequently"/>
    <n v="809"/>
    <x v="0"/>
    <n v="12"/>
    <n v="3"/>
    <s v="Marketing"/>
    <n v="1"/>
    <n v="174"/>
    <x v="1"/>
    <s v="Female"/>
    <n v="77"/>
    <n v="3"/>
    <n v="3"/>
    <x v="0"/>
    <x v="0"/>
    <s v="Single"/>
    <n v="9208"/>
    <n v="6645"/>
    <n v="4"/>
    <s v="Y"/>
    <x v="1"/>
    <n v="11"/>
    <n v="3"/>
    <n v="4"/>
    <n v="80"/>
    <n v="0"/>
    <n v="16"/>
    <n v="3"/>
    <x v="1"/>
    <x v="4"/>
    <n v="2"/>
    <n v="2"/>
    <n v="1"/>
  </r>
  <r>
    <n v="31"/>
    <x v="0"/>
    <s v="Travel_Rarely"/>
    <n v="542"/>
    <x v="0"/>
    <n v="20"/>
    <n v="3"/>
    <s v="Life Sciences"/>
    <n v="1"/>
    <n v="175"/>
    <x v="0"/>
    <s v="Female"/>
    <n v="71"/>
    <n v="1"/>
    <n v="2"/>
    <x v="0"/>
    <x v="2"/>
    <s v="Married"/>
    <n v="4559"/>
    <n v="24788"/>
    <n v="3"/>
    <s v="Y"/>
    <x v="0"/>
    <n v="11"/>
    <n v="3"/>
    <n v="3"/>
    <n v="80"/>
    <n v="1"/>
    <n v="4"/>
    <n v="2"/>
    <x v="1"/>
    <x v="4"/>
    <n v="2"/>
    <n v="2"/>
    <n v="2"/>
  </r>
  <r>
    <n v="41"/>
    <x v="1"/>
    <s v="Travel_Rarely"/>
    <n v="802"/>
    <x v="0"/>
    <n v="9"/>
    <n v="1"/>
    <s v="Life Sciences"/>
    <n v="1"/>
    <n v="176"/>
    <x v="1"/>
    <s v="Male"/>
    <n v="96"/>
    <n v="3"/>
    <n v="3"/>
    <x v="0"/>
    <x v="2"/>
    <s v="Divorced"/>
    <n v="8189"/>
    <n v="21196"/>
    <n v="3"/>
    <s v="Y"/>
    <x v="0"/>
    <n v="13"/>
    <n v="3"/>
    <n v="3"/>
    <n v="80"/>
    <n v="1"/>
    <n v="12"/>
    <n v="2"/>
    <x v="1"/>
    <x v="7"/>
    <n v="7"/>
    <n v="0"/>
    <n v="7"/>
  </r>
  <r>
    <n v="26"/>
    <x v="1"/>
    <s v="Travel_Rarely"/>
    <n v="1355"/>
    <x v="2"/>
    <n v="25"/>
    <n v="1"/>
    <s v="Life Sciences"/>
    <n v="1"/>
    <n v="177"/>
    <x v="1"/>
    <s v="Female"/>
    <n v="61"/>
    <n v="3"/>
    <n v="1"/>
    <x v="8"/>
    <x v="2"/>
    <s v="Married"/>
    <n v="2942"/>
    <n v="8916"/>
    <n v="1"/>
    <s v="Y"/>
    <x v="1"/>
    <n v="23"/>
    <n v="4"/>
    <n v="4"/>
    <n v="80"/>
    <n v="1"/>
    <n v="8"/>
    <n v="3"/>
    <x v="1"/>
    <x v="3"/>
    <n v="7"/>
    <n v="5"/>
    <n v="7"/>
  </r>
  <r>
    <n v="36"/>
    <x v="1"/>
    <s v="Travel_Rarely"/>
    <n v="216"/>
    <x v="1"/>
    <n v="6"/>
    <n v="2"/>
    <s v="Medical"/>
    <n v="1"/>
    <n v="178"/>
    <x v="0"/>
    <s v="Male"/>
    <n v="84"/>
    <n v="3"/>
    <n v="2"/>
    <x v="3"/>
    <x v="1"/>
    <s v="Divorced"/>
    <n v="4941"/>
    <n v="2819"/>
    <n v="6"/>
    <s v="Y"/>
    <x v="1"/>
    <n v="20"/>
    <n v="4"/>
    <n v="4"/>
    <n v="80"/>
    <n v="2"/>
    <n v="7"/>
    <n v="0"/>
    <x v="1"/>
    <x v="11"/>
    <n v="2"/>
    <n v="0"/>
    <n v="1"/>
  </r>
  <r>
    <n v="51"/>
    <x v="0"/>
    <s v="Travel_Frequently"/>
    <n v="1150"/>
    <x v="1"/>
    <n v="8"/>
    <n v="4"/>
    <s v="Life Sciences"/>
    <n v="1"/>
    <n v="179"/>
    <x v="3"/>
    <s v="Male"/>
    <n v="53"/>
    <n v="1"/>
    <n v="3"/>
    <x v="3"/>
    <x v="0"/>
    <s v="Single"/>
    <n v="10650"/>
    <n v="25150"/>
    <n v="2"/>
    <s v="Y"/>
    <x v="1"/>
    <n v="15"/>
    <n v="3"/>
    <n v="4"/>
    <n v="80"/>
    <n v="0"/>
    <n v="18"/>
    <n v="2"/>
    <x v="1"/>
    <x v="9"/>
    <n v="2"/>
    <n v="0"/>
    <n v="3"/>
  </r>
  <r>
    <n v="39"/>
    <x v="1"/>
    <s v="Travel_Rarely"/>
    <n v="1329"/>
    <x v="0"/>
    <n v="4"/>
    <n v="4"/>
    <s v="Life Sciences"/>
    <n v="1"/>
    <n v="182"/>
    <x v="2"/>
    <s v="Female"/>
    <n v="47"/>
    <n v="2"/>
    <n v="2"/>
    <x v="0"/>
    <x v="2"/>
    <s v="Married"/>
    <n v="5902"/>
    <n v="14590"/>
    <n v="4"/>
    <s v="Y"/>
    <x v="1"/>
    <n v="14"/>
    <n v="3"/>
    <n v="3"/>
    <n v="80"/>
    <n v="1"/>
    <n v="17"/>
    <n v="1"/>
    <x v="3"/>
    <x v="15"/>
    <n v="11"/>
    <n v="5"/>
    <n v="9"/>
  </r>
  <r>
    <n v="25"/>
    <x v="1"/>
    <s v="Travel_Rarely"/>
    <n v="959"/>
    <x v="0"/>
    <n v="28"/>
    <n v="3"/>
    <s v="Life Sciences"/>
    <n v="1"/>
    <n v="183"/>
    <x v="3"/>
    <s v="Male"/>
    <n v="41"/>
    <n v="2"/>
    <n v="2"/>
    <x v="0"/>
    <x v="2"/>
    <s v="Married"/>
    <n v="8639"/>
    <n v="24835"/>
    <n v="2"/>
    <s v="Y"/>
    <x v="1"/>
    <n v="18"/>
    <n v="3"/>
    <n v="4"/>
    <n v="80"/>
    <n v="0"/>
    <n v="6"/>
    <n v="3"/>
    <x v="1"/>
    <x v="4"/>
    <n v="2"/>
    <n v="2"/>
    <n v="2"/>
  </r>
  <r>
    <n v="30"/>
    <x v="1"/>
    <s v="Travel_Rarely"/>
    <n v="1240"/>
    <x v="2"/>
    <n v="9"/>
    <n v="3"/>
    <s v="Human Resources"/>
    <n v="1"/>
    <n v="184"/>
    <x v="1"/>
    <s v="Male"/>
    <n v="48"/>
    <n v="3"/>
    <n v="2"/>
    <x v="8"/>
    <x v="0"/>
    <s v="Married"/>
    <n v="6347"/>
    <n v="13982"/>
    <n v="0"/>
    <s v="Y"/>
    <x v="0"/>
    <n v="19"/>
    <n v="3"/>
    <n v="4"/>
    <n v="80"/>
    <n v="0"/>
    <n v="12"/>
    <n v="2"/>
    <x v="0"/>
    <x v="19"/>
    <n v="9"/>
    <n v="4"/>
    <n v="7"/>
  </r>
  <r>
    <n v="32"/>
    <x v="0"/>
    <s v="Travel_Rarely"/>
    <n v="1033"/>
    <x v="1"/>
    <n v="9"/>
    <n v="3"/>
    <s v="Medical"/>
    <n v="1"/>
    <n v="190"/>
    <x v="3"/>
    <s v="Female"/>
    <n v="41"/>
    <n v="3"/>
    <n v="1"/>
    <x v="2"/>
    <x v="3"/>
    <s v="Single"/>
    <n v="4200"/>
    <n v="10224"/>
    <n v="7"/>
    <s v="Y"/>
    <x v="1"/>
    <n v="22"/>
    <n v="4"/>
    <n v="1"/>
    <n v="80"/>
    <n v="0"/>
    <n v="10"/>
    <n v="2"/>
    <x v="3"/>
    <x v="8"/>
    <n v="4"/>
    <n v="0"/>
    <n v="4"/>
  </r>
  <r>
    <n v="45"/>
    <x v="1"/>
    <s v="Travel_Rarely"/>
    <n v="1316"/>
    <x v="1"/>
    <n v="29"/>
    <n v="3"/>
    <s v="Medical"/>
    <n v="1"/>
    <n v="192"/>
    <x v="1"/>
    <s v="Male"/>
    <n v="83"/>
    <n v="3"/>
    <n v="1"/>
    <x v="1"/>
    <x v="0"/>
    <s v="Single"/>
    <n v="3452"/>
    <n v="9752"/>
    <n v="5"/>
    <s v="Y"/>
    <x v="1"/>
    <n v="13"/>
    <n v="3"/>
    <n v="2"/>
    <n v="80"/>
    <n v="0"/>
    <n v="9"/>
    <n v="2"/>
    <x v="2"/>
    <x v="0"/>
    <n v="5"/>
    <n v="0"/>
    <n v="3"/>
  </r>
  <r>
    <n v="38"/>
    <x v="1"/>
    <s v="Travel_Rarely"/>
    <n v="364"/>
    <x v="1"/>
    <n v="3"/>
    <n v="5"/>
    <s v="Technical Degree"/>
    <n v="1"/>
    <n v="193"/>
    <x v="2"/>
    <s v="Female"/>
    <n v="32"/>
    <n v="3"/>
    <n v="2"/>
    <x v="1"/>
    <x v="2"/>
    <s v="Single"/>
    <n v="4317"/>
    <n v="2302"/>
    <n v="3"/>
    <s v="Y"/>
    <x v="0"/>
    <n v="20"/>
    <n v="4"/>
    <n v="2"/>
    <n v="80"/>
    <n v="0"/>
    <n v="19"/>
    <n v="2"/>
    <x v="1"/>
    <x v="11"/>
    <n v="2"/>
    <n v="2"/>
    <n v="2"/>
  </r>
  <r>
    <n v="30"/>
    <x v="1"/>
    <s v="Travel_Rarely"/>
    <n v="438"/>
    <x v="1"/>
    <n v="18"/>
    <n v="3"/>
    <s v="Life Sciences"/>
    <n v="1"/>
    <n v="194"/>
    <x v="3"/>
    <s v="Female"/>
    <n v="75"/>
    <n v="3"/>
    <n v="1"/>
    <x v="1"/>
    <x v="2"/>
    <s v="Single"/>
    <n v="2632"/>
    <n v="23910"/>
    <n v="1"/>
    <s v="Y"/>
    <x v="1"/>
    <n v="14"/>
    <n v="3"/>
    <n v="3"/>
    <n v="80"/>
    <n v="0"/>
    <n v="5"/>
    <n v="4"/>
    <x v="2"/>
    <x v="8"/>
    <n v="4"/>
    <n v="0"/>
    <n v="4"/>
  </r>
  <r>
    <n v="32"/>
    <x v="1"/>
    <s v="Travel_Frequently"/>
    <n v="689"/>
    <x v="0"/>
    <n v="9"/>
    <n v="2"/>
    <s v="Medical"/>
    <n v="1"/>
    <n v="195"/>
    <x v="2"/>
    <s v="Male"/>
    <n v="35"/>
    <n v="1"/>
    <n v="2"/>
    <x v="0"/>
    <x v="0"/>
    <s v="Divorced"/>
    <n v="4668"/>
    <n v="22812"/>
    <n v="0"/>
    <s v="Y"/>
    <x v="1"/>
    <n v="17"/>
    <n v="3"/>
    <n v="4"/>
    <n v="80"/>
    <n v="3"/>
    <n v="9"/>
    <n v="2"/>
    <x v="3"/>
    <x v="3"/>
    <n v="7"/>
    <n v="0"/>
    <n v="7"/>
  </r>
  <r>
    <n v="30"/>
    <x v="1"/>
    <s v="Travel_Rarely"/>
    <n v="201"/>
    <x v="1"/>
    <n v="5"/>
    <n v="3"/>
    <s v="Technical Degree"/>
    <n v="1"/>
    <n v="197"/>
    <x v="2"/>
    <s v="Female"/>
    <n v="84"/>
    <n v="3"/>
    <n v="1"/>
    <x v="1"/>
    <x v="3"/>
    <s v="Divorced"/>
    <n v="3204"/>
    <n v="10415"/>
    <n v="5"/>
    <s v="Y"/>
    <x v="1"/>
    <n v="14"/>
    <n v="3"/>
    <n v="4"/>
    <n v="80"/>
    <n v="1"/>
    <n v="8"/>
    <n v="3"/>
    <x v="1"/>
    <x v="11"/>
    <n v="2"/>
    <n v="2"/>
    <n v="2"/>
  </r>
  <r>
    <n v="30"/>
    <x v="1"/>
    <s v="Travel_Rarely"/>
    <n v="1427"/>
    <x v="1"/>
    <n v="2"/>
    <n v="1"/>
    <s v="Medical"/>
    <n v="1"/>
    <n v="198"/>
    <x v="0"/>
    <s v="Male"/>
    <n v="35"/>
    <n v="2"/>
    <n v="1"/>
    <x v="2"/>
    <x v="0"/>
    <s v="Single"/>
    <n v="2720"/>
    <n v="11162"/>
    <n v="0"/>
    <s v="Y"/>
    <x v="1"/>
    <n v="13"/>
    <n v="3"/>
    <n v="4"/>
    <n v="80"/>
    <n v="0"/>
    <n v="6"/>
    <n v="3"/>
    <x v="1"/>
    <x v="8"/>
    <n v="3"/>
    <n v="1"/>
    <n v="2"/>
  </r>
  <r>
    <n v="41"/>
    <x v="1"/>
    <s v="Travel_Frequently"/>
    <n v="857"/>
    <x v="1"/>
    <n v="10"/>
    <n v="3"/>
    <s v="Life Sciences"/>
    <n v="1"/>
    <n v="199"/>
    <x v="2"/>
    <s v="Male"/>
    <n v="91"/>
    <n v="2"/>
    <n v="4"/>
    <x v="5"/>
    <x v="3"/>
    <s v="Divorced"/>
    <n v="17181"/>
    <n v="12888"/>
    <n v="4"/>
    <s v="Y"/>
    <x v="1"/>
    <n v="13"/>
    <n v="3"/>
    <n v="2"/>
    <n v="80"/>
    <n v="1"/>
    <n v="21"/>
    <n v="2"/>
    <x v="2"/>
    <x v="5"/>
    <n v="6"/>
    <n v="7"/>
    <n v="7"/>
  </r>
  <r>
    <n v="41"/>
    <x v="1"/>
    <s v="Travel_Rarely"/>
    <n v="933"/>
    <x v="1"/>
    <n v="9"/>
    <n v="4"/>
    <s v="Life Sciences"/>
    <n v="1"/>
    <n v="200"/>
    <x v="1"/>
    <s v="Male"/>
    <n v="94"/>
    <n v="3"/>
    <n v="1"/>
    <x v="2"/>
    <x v="3"/>
    <s v="Married"/>
    <n v="2238"/>
    <n v="6961"/>
    <n v="2"/>
    <s v="Y"/>
    <x v="1"/>
    <n v="21"/>
    <n v="4"/>
    <n v="4"/>
    <n v="80"/>
    <n v="1"/>
    <n v="7"/>
    <n v="2"/>
    <x v="1"/>
    <x v="8"/>
    <n v="0"/>
    <n v="1"/>
    <n v="4"/>
  </r>
  <r>
    <n v="19"/>
    <x v="1"/>
    <s v="Travel_Rarely"/>
    <n v="1181"/>
    <x v="1"/>
    <n v="3"/>
    <n v="1"/>
    <s v="Medical"/>
    <n v="1"/>
    <n v="201"/>
    <x v="0"/>
    <s v="Female"/>
    <n v="79"/>
    <n v="3"/>
    <n v="1"/>
    <x v="2"/>
    <x v="1"/>
    <s v="Single"/>
    <n v="1483"/>
    <n v="16102"/>
    <n v="1"/>
    <s v="Y"/>
    <x v="1"/>
    <n v="14"/>
    <n v="3"/>
    <n v="4"/>
    <n v="80"/>
    <n v="0"/>
    <n v="1"/>
    <n v="3"/>
    <x v="1"/>
    <x v="6"/>
    <n v="0"/>
    <n v="0"/>
    <n v="0"/>
  </r>
  <r>
    <n v="40"/>
    <x v="1"/>
    <s v="Travel_Frequently"/>
    <n v="1395"/>
    <x v="1"/>
    <n v="26"/>
    <n v="3"/>
    <s v="Medical"/>
    <n v="1"/>
    <n v="202"/>
    <x v="0"/>
    <s v="Female"/>
    <n v="54"/>
    <n v="3"/>
    <n v="2"/>
    <x v="1"/>
    <x v="1"/>
    <s v="Divorced"/>
    <n v="5605"/>
    <n v="8504"/>
    <n v="1"/>
    <s v="Y"/>
    <x v="1"/>
    <n v="11"/>
    <n v="3"/>
    <n v="1"/>
    <n v="80"/>
    <n v="1"/>
    <n v="20"/>
    <n v="2"/>
    <x v="1"/>
    <x v="23"/>
    <n v="7"/>
    <n v="2"/>
    <n v="13"/>
  </r>
  <r>
    <n v="35"/>
    <x v="1"/>
    <s v="Travel_Rarely"/>
    <n v="662"/>
    <x v="0"/>
    <n v="1"/>
    <n v="5"/>
    <s v="Marketing"/>
    <n v="1"/>
    <n v="204"/>
    <x v="1"/>
    <s v="Male"/>
    <n v="94"/>
    <n v="3"/>
    <n v="3"/>
    <x v="0"/>
    <x v="1"/>
    <s v="Married"/>
    <n v="7295"/>
    <n v="11439"/>
    <n v="1"/>
    <s v="Y"/>
    <x v="1"/>
    <n v="13"/>
    <n v="3"/>
    <n v="1"/>
    <n v="80"/>
    <n v="2"/>
    <n v="10"/>
    <n v="3"/>
    <x v="1"/>
    <x v="1"/>
    <n v="8"/>
    <n v="0"/>
    <n v="6"/>
  </r>
  <r>
    <n v="53"/>
    <x v="1"/>
    <s v="Travel_Rarely"/>
    <n v="1436"/>
    <x v="0"/>
    <n v="6"/>
    <n v="2"/>
    <s v="Marketing"/>
    <n v="1"/>
    <n v="205"/>
    <x v="0"/>
    <s v="Male"/>
    <n v="34"/>
    <n v="3"/>
    <n v="2"/>
    <x v="6"/>
    <x v="2"/>
    <s v="Married"/>
    <n v="2306"/>
    <n v="16047"/>
    <n v="2"/>
    <s v="Y"/>
    <x v="0"/>
    <n v="20"/>
    <n v="4"/>
    <n v="4"/>
    <n v="80"/>
    <n v="1"/>
    <n v="13"/>
    <n v="3"/>
    <x v="0"/>
    <x v="5"/>
    <n v="7"/>
    <n v="4"/>
    <n v="5"/>
  </r>
  <r>
    <n v="45"/>
    <x v="1"/>
    <s v="Travel_Rarely"/>
    <n v="194"/>
    <x v="1"/>
    <n v="9"/>
    <n v="3"/>
    <s v="Life Sciences"/>
    <n v="1"/>
    <n v="206"/>
    <x v="0"/>
    <s v="Male"/>
    <n v="60"/>
    <n v="3"/>
    <n v="2"/>
    <x v="2"/>
    <x v="1"/>
    <s v="Divorced"/>
    <n v="2348"/>
    <n v="10901"/>
    <n v="8"/>
    <s v="Y"/>
    <x v="1"/>
    <n v="18"/>
    <n v="3"/>
    <n v="3"/>
    <n v="80"/>
    <n v="1"/>
    <n v="20"/>
    <n v="2"/>
    <x v="0"/>
    <x v="18"/>
    <n v="9"/>
    <n v="0"/>
    <n v="15"/>
  </r>
  <r>
    <n v="32"/>
    <x v="1"/>
    <s v="Travel_Frequently"/>
    <n v="967"/>
    <x v="0"/>
    <n v="8"/>
    <n v="3"/>
    <s v="Marketing"/>
    <n v="1"/>
    <n v="207"/>
    <x v="0"/>
    <s v="Female"/>
    <n v="43"/>
    <n v="3"/>
    <n v="3"/>
    <x v="0"/>
    <x v="0"/>
    <s v="Single"/>
    <n v="8998"/>
    <n v="15589"/>
    <n v="1"/>
    <s v="Y"/>
    <x v="1"/>
    <n v="14"/>
    <n v="3"/>
    <n v="4"/>
    <n v="80"/>
    <n v="0"/>
    <n v="9"/>
    <n v="2"/>
    <x v="1"/>
    <x v="7"/>
    <n v="8"/>
    <n v="3"/>
    <n v="7"/>
  </r>
  <r>
    <n v="29"/>
    <x v="1"/>
    <s v="Non-Travel"/>
    <n v="1496"/>
    <x v="1"/>
    <n v="1"/>
    <n v="1"/>
    <s v="Technical Degree"/>
    <n v="1"/>
    <n v="208"/>
    <x v="2"/>
    <s v="Male"/>
    <n v="41"/>
    <n v="3"/>
    <n v="2"/>
    <x v="3"/>
    <x v="2"/>
    <s v="Married"/>
    <n v="4319"/>
    <n v="26283"/>
    <n v="1"/>
    <s v="Y"/>
    <x v="1"/>
    <n v="13"/>
    <n v="3"/>
    <n v="1"/>
    <n v="80"/>
    <n v="1"/>
    <n v="10"/>
    <n v="1"/>
    <x v="1"/>
    <x v="1"/>
    <n v="7"/>
    <n v="0"/>
    <n v="9"/>
  </r>
  <r>
    <n v="51"/>
    <x v="1"/>
    <s v="Travel_Rarely"/>
    <n v="1169"/>
    <x v="1"/>
    <n v="7"/>
    <n v="4"/>
    <s v="Medical"/>
    <n v="1"/>
    <n v="211"/>
    <x v="0"/>
    <s v="Male"/>
    <n v="34"/>
    <n v="2"/>
    <n v="2"/>
    <x v="3"/>
    <x v="2"/>
    <s v="Married"/>
    <n v="6132"/>
    <n v="13983"/>
    <n v="2"/>
    <s v="Y"/>
    <x v="1"/>
    <n v="17"/>
    <n v="3"/>
    <n v="3"/>
    <n v="80"/>
    <n v="0"/>
    <n v="10"/>
    <n v="2"/>
    <x v="1"/>
    <x v="6"/>
    <n v="0"/>
    <n v="0"/>
    <n v="0"/>
  </r>
  <r>
    <n v="58"/>
    <x v="1"/>
    <s v="Travel_Rarely"/>
    <n v="1145"/>
    <x v="1"/>
    <n v="9"/>
    <n v="3"/>
    <s v="Medical"/>
    <n v="1"/>
    <n v="214"/>
    <x v="0"/>
    <s v="Female"/>
    <n v="75"/>
    <n v="2"/>
    <n v="1"/>
    <x v="1"/>
    <x v="1"/>
    <s v="Married"/>
    <n v="3346"/>
    <n v="11873"/>
    <n v="4"/>
    <s v="Y"/>
    <x v="0"/>
    <n v="20"/>
    <n v="4"/>
    <n v="2"/>
    <n v="80"/>
    <n v="1"/>
    <n v="9"/>
    <n v="3"/>
    <x v="2"/>
    <x v="6"/>
    <n v="0"/>
    <n v="0"/>
    <n v="0"/>
  </r>
  <r>
    <n v="40"/>
    <x v="1"/>
    <s v="Travel_Rarely"/>
    <n v="630"/>
    <x v="0"/>
    <n v="4"/>
    <n v="4"/>
    <s v="Marketing"/>
    <n v="1"/>
    <n v="215"/>
    <x v="1"/>
    <s v="Male"/>
    <n v="67"/>
    <n v="2"/>
    <n v="3"/>
    <x v="0"/>
    <x v="0"/>
    <s v="Married"/>
    <n v="10855"/>
    <n v="8552"/>
    <n v="7"/>
    <s v="Y"/>
    <x v="1"/>
    <n v="11"/>
    <n v="3"/>
    <n v="1"/>
    <n v="80"/>
    <n v="1"/>
    <n v="15"/>
    <n v="2"/>
    <x v="2"/>
    <x v="12"/>
    <n v="11"/>
    <n v="2"/>
    <n v="11"/>
  </r>
  <r>
    <n v="34"/>
    <x v="1"/>
    <s v="Travel_Frequently"/>
    <n v="303"/>
    <x v="0"/>
    <n v="2"/>
    <n v="4"/>
    <s v="Marketing"/>
    <n v="1"/>
    <n v="216"/>
    <x v="1"/>
    <s v="Female"/>
    <n v="75"/>
    <n v="3"/>
    <n v="1"/>
    <x v="6"/>
    <x v="2"/>
    <s v="Married"/>
    <n v="2231"/>
    <n v="11314"/>
    <n v="6"/>
    <s v="Y"/>
    <x v="1"/>
    <n v="18"/>
    <n v="3"/>
    <n v="4"/>
    <n v="80"/>
    <n v="1"/>
    <n v="6"/>
    <n v="3"/>
    <x v="1"/>
    <x v="9"/>
    <n v="3"/>
    <n v="1"/>
    <n v="2"/>
  </r>
  <r>
    <n v="22"/>
    <x v="1"/>
    <s v="Travel_Rarely"/>
    <n v="1256"/>
    <x v="1"/>
    <n v="19"/>
    <n v="1"/>
    <s v="Medical"/>
    <n v="1"/>
    <n v="217"/>
    <x v="1"/>
    <s v="Male"/>
    <n v="80"/>
    <n v="3"/>
    <n v="1"/>
    <x v="1"/>
    <x v="0"/>
    <s v="Married"/>
    <n v="2323"/>
    <n v="11992"/>
    <n v="1"/>
    <s v="Y"/>
    <x v="1"/>
    <n v="24"/>
    <n v="4"/>
    <n v="1"/>
    <n v="80"/>
    <n v="2"/>
    <n v="2"/>
    <n v="6"/>
    <x v="1"/>
    <x v="4"/>
    <n v="2"/>
    <n v="2"/>
    <n v="2"/>
  </r>
  <r>
    <n v="27"/>
    <x v="1"/>
    <s v="Non-Travel"/>
    <n v="691"/>
    <x v="1"/>
    <n v="9"/>
    <n v="3"/>
    <s v="Medical"/>
    <n v="1"/>
    <n v="218"/>
    <x v="2"/>
    <s v="Male"/>
    <n v="57"/>
    <n v="3"/>
    <n v="1"/>
    <x v="1"/>
    <x v="1"/>
    <s v="Divorced"/>
    <n v="2024"/>
    <n v="5970"/>
    <n v="6"/>
    <s v="Y"/>
    <x v="1"/>
    <n v="18"/>
    <n v="3"/>
    <n v="4"/>
    <n v="80"/>
    <n v="1"/>
    <n v="6"/>
    <n v="1"/>
    <x v="0"/>
    <x v="4"/>
    <n v="2"/>
    <n v="2"/>
    <n v="2"/>
  </r>
  <r>
    <n v="28"/>
    <x v="1"/>
    <s v="Travel_Rarely"/>
    <n v="440"/>
    <x v="1"/>
    <n v="21"/>
    <n v="3"/>
    <s v="Medical"/>
    <n v="1"/>
    <n v="221"/>
    <x v="1"/>
    <s v="Male"/>
    <n v="42"/>
    <n v="3"/>
    <n v="1"/>
    <x v="1"/>
    <x v="0"/>
    <s v="Married"/>
    <n v="2713"/>
    <n v="6672"/>
    <n v="1"/>
    <s v="Y"/>
    <x v="1"/>
    <n v="11"/>
    <n v="3"/>
    <n v="3"/>
    <n v="80"/>
    <n v="1"/>
    <n v="5"/>
    <n v="2"/>
    <x v="0"/>
    <x v="8"/>
    <n v="2"/>
    <n v="0"/>
    <n v="2"/>
  </r>
  <r>
    <n v="57"/>
    <x v="1"/>
    <s v="Travel_Rarely"/>
    <n v="334"/>
    <x v="1"/>
    <n v="24"/>
    <n v="2"/>
    <s v="Life Sciences"/>
    <n v="1"/>
    <n v="223"/>
    <x v="1"/>
    <s v="Male"/>
    <n v="83"/>
    <n v="4"/>
    <n v="3"/>
    <x v="4"/>
    <x v="0"/>
    <s v="Divorced"/>
    <n v="9439"/>
    <n v="23402"/>
    <n v="3"/>
    <s v="Y"/>
    <x v="0"/>
    <n v="16"/>
    <n v="3"/>
    <n v="2"/>
    <n v="80"/>
    <n v="1"/>
    <n v="12"/>
    <n v="2"/>
    <x v="0"/>
    <x v="8"/>
    <n v="3"/>
    <n v="1"/>
    <n v="4"/>
  </r>
  <r>
    <n v="27"/>
    <x v="1"/>
    <s v="Non-Travel"/>
    <n v="1450"/>
    <x v="1"/>
    <n v="3"/>
    <n v="3"/>
    <s v="Medical"/>
    <n v="1"/>
    <n v="224"/>
    <x v="1"/>
    <s v="Male"/>
    <n v="79"/>
    <n v="2"/>
    <n v="1"/>
    <x v="1"/>
    <x v="2"/>
    <s v="Divorced"/>
    <n v="2566"/>
    <n v="25326"/>
    <n v="1"/>
    <s v="Y"/>
    <x v="0"/>
    <n v="15"/>
    <n v="3"/>
    <n v="4"/>
    <n v="80"/>
    <n v="1"/>
    <n v="1"/>
    <n v="2"/>
    <x v="2"/>
    <x v="6"/>
    <n v="1"/>
    <n v="0"/>
    <n v="1"/>
  </r>
  <r>
    <n v="50"/>
    <x v="1"/>
    <s v="Travel_Rarely"/>
    <n v="1452"/>
    <x v="1"/>
    <n v="11"/>
    <n v="3"/>
    <s v="Life Sciences"/>
    <n v="1"/>
    <n v="226"/>
    <x v="1"/>
    <s v="Female"/>
    <n v="53"/>
    <n v="3"/>
    <n v="5"/>
    <x v="5"/>
    <x v="1"/>
    <s v="Single"/>
    <n v="19926"/>
    <n v="17053"/>
    <n v="3"/>
    <s v="Y"/>
    <x v="1"/>
    <n v="15"/>
    <n v="3"/>
    <n v="2"/>
    <n v="80"/>
    <n v="0"/>
    <n v="21"/>
    <n v="5"/>
    <x v="1"/>
    <x v="8"/>
    <n v="4"/>
    <n v="4"/>
    <n v="4"/>
  </r>
  <r>
    <n v="41"/>
    <x v="1"/>
    <s v="Travel_Rarely"/>
    <n v="465"/>
    <x v="1"/>
    <n v="14"/>
    <n v="3"/>
    <s v="Life Sciences"/>
    <n v="1"/>
    <n v="227"/>
    <x v="3"/>
    <s v="Male"/>
    <n v="56"/>
    <n v="3"/>
    <n v="1"/>
    <x v="1"/>
    <x v="2"/>
    <s v="Divorced"/>
    <n v="2451"/>
    <n v="4609"/>
    <n v="4"/>
    <s v="Y"/>
    <x v="1"/>
    <n v="12"/>
    <n v="3"/>
    <n v="1"/>
    <n v="80"/>
    <n v="1"/>
    <n v="13"/>
    <n v="2"/>
    <x v="1"/>
    <x v="7"/>
    <n v="8"/>
    <n v="1"/>
    <n v="8"/>
  </r>
  <r>
    <n v="30"/>
    <x v="1"/>
    <s v="Travel_Rarely"/>
    <n v="1339"/>
    <x v="0"/>
    <n v="5"/>
    <n v="3"/>
    <s v="Life Sciences"/>
    <n v="1"/>
    <n v="228"/>
    <x v="0"/>
    <s v="Female"/>
    <n v="41"/>
    <n v="3"/>
    <n v="3"/>
    <x v="0"/>
    <x v="0"/>
    <s v="Married"/>
    <n v="9419"/>
    <n v="8053"/>
    <n v="2"/>
    <s v="Y"/>
    <x v="1"/>
    <n v="12"/>
    <n v="3"/>
    <n v="3"/>
    <n v="80"/>
    <n v="1"/>
    <n v="12"/>
    <n v="2"/>
    <x v="1"/>
    <x v="1"/>
    <n v="9"/>
    <n v="7"/>
    <n v="4"/>
  </r>
  <r>
    <n v="38"/>
    <x v="1"/>
    <s v="Travel_Rarely"/>
    <n v="702"/>
    <x v="0"/>
    <n v="1"/>
    <n v="4"/>
    <s v="Life Sciences"/>
    <n v="1"/>
    <n v="230"/>
    <x v="3"/>
    <s v="Female"/>
    <n v="59"/>
    <n v="2"/>
    <n v="2"/>
    <x v="0"/>
    <x v="0"/>
    <s v="Single"/>
    <n v="8686"/>
    <n v="12930"/>
    <n v="4"/>
    <s v="Y"/>
    <x v="1"/>
    <n v="22"/>
    <n v="4"/>
    <n v="3"/>
    <n v="80"/>
    <n v="0"/>
    <n v="12"/>
    <n v="2"/>
    <x v="3"/>
    <x v="3"/>
    <n v="3"/>
    <n v="0"/>
    <n v="7"/>
  </r>
  <r>
    <n v="32"/>
    <x v="1"/>
    <s v="Travel_Rarely"/>
    <n v="120"/>
    <x v="1"/>
    <n v="6"/>
    <n v="5"/>
    <s v="Life Sciences"/>
    <n v="1"/>
    <n v="231"/>
    <x v="1"/>
    <s v="Male"/>
    <n v="43"/>
    <n v="3"/>
    <n v="1"/>
    <x v="1"/>
    <x v="2"/>
    <s v="Single"/>
    <n v="3038"/>
    <n v="12430"/>
    <n v="3"/>
    <s v="Y"/>
    <x v="1"/>
    <n v="20"/>
    <n v="4"/>
    <n v="1"/>
    <n v="80"/>
    <n v="0"/>
    <n v="8"/>
    <n v="2"/>
    <x v="1"/>
    <x v="8"/>
    <n v="4"/>
    <n v="1"/>
    <n v="4"/>
  </r>
  <r>
    <n v="27"/>
    <x v="1"/>
    <s v="Travel_Rarely"/>
    <n v="1157"/>
    <x v="1"/>
    <n v="17"/>
    <n v="3"/>
    <s v="Technical Degree"/>
    <n v="1"/>
    <n v="233"/>
    <x v="1"/>
    <s v="Male"/>
    <n v="51"/>
    <n v="3"/>
    <n v="1"/>
    <x v="1"/>
    <x v="1"/>
    <s v="Married"/>
    <n v="3058"/>
    <n v="13364"/>
    <n v="0"/>
    <s v="Y"/>
    <x v="0"/>
    <n v="16"/>
    <n v="3"/>
    <n v="4"/>
    <n v="80"/>
    <n v="1"/>
    <n v="6"/>
    <n v="3"/>
    <x v="2"/>
    <x v="8"/>
    <n v="2"/>
    <n v="1"/>
    <n v="1"/>
  </r>
  <r>
    <n v="19"/>
    <x v="0"/>
    <s v="Travel_Frequently"/>
    <n v="602"/>
    <x v="0"/>
    <n v="1"/>
    <n v="1"/>
    <s v="Technical Degree"/>
    <n v="1"/>
    <n v="235"/>
    <x v="1"/>
    <s v="Female"/>
    <n v="100"/>
    <n v="1"/>
    <n v="1"/>
    <x v="6"/>
    <x v="3"/>
    <s v="Single"/>
    <n v="2325"/>
    <n v="20989"/>
    <n v="0"/>
    <s v="Y"/>
    <x v="1"/>
    <n v="21"/>
    <n v="4"/>
    <n v="1"/>
    <n v="80"/>
    <n v="0"/>
    <n v="1"/>
    <n v="5"/>
    <x v="3"/>
    <x v="2"/>
    <n v="0"/>
    <n v="0"/>
    <n v="0"/>
  </r>
  <r>
    <n v="36"/>
    <x v="1"/>
    <s v="Travel_Frequently"/>
    <n v="1480"/>
    <x v="1"/>
    <n v="3"/>
    <n v="2"/>
    <s v="Medical"/>
    <n v="1"/>
    <n v="238"/>
    <x v="2"/>
    <s v="Male"/>
    <n v="30"/>
    <n v="3"/>
    <n v="1"/>
    <x v="2"/>
    <x v="1"/>
    <s v="Single"/>
    <n v="2088"/>
    <n v="15062"/>
    <n v="4"/>
    <s v="Y"/>
    <x v="1"/>
    <n v="12"/>
    <n v="3"/>
    <n v="3"/>
    <n v="80"/>
    <n v="0"/>
    <n v="13"/>
    <n v="3"/>
    <x v="2"/>
    <x v="3"/>
    <n v="7"/>
    <n v="7"/>
    <n v="2"/>
  </r>
  <r>
    <n v="30"/>
    <x v="1"/>
    <s v="Non-Travel"/>
    <n v="111"/>
    <x v="1"/>
    <n v="9"/>
    <n v="3"/>
    <s v="Medical"/>
    <n v="1"/>
    <n v="239"/>
    <x v="1"/>
    <s v="Male"/>
    <n v="66"/>
    <n v="3"/>
    <n v="2"/>
    <x v="2"/>
    <x v="3"/>
    <s v="Divorced"/>
    <n v="3072"/>
    <n v="11012"/>
    <n v="1"/>
    <s v="Y"/>
    <x v="1"/>
    <n v="11"/>
    <n v="3"/>
    <n v="3"/>
    <n v="80"/>
    <n v="2"/>
    <n v="12"/>
    <n v="4"/>
    <x v="1"/>
    <x v="12"/>
    <n v="9"/>
    <n v="6"/>
    <n v="10"/>
  </r>
  <r>
    <n v="45"/>
    <x v="1"/>
    <s v="Travel_Rarely"/>
    <n v="1268"/>
    <x v="0"/>
    <n v="4"/>
    <n v="2"/>
    <s v="Life Sciences"/>
    <n v="1"/>
    <n v="240"/>
    <x v="1"/>
    <s v="Female"/>
    <n v="30"/>
    <n v="3"/>
    <n v="2"/>
    <x v="0"/>
    <x v="3"/>
    <s v="Divorced"/>
    <n v="5006"/>
    <n v="6319"/>
    <n v="4"/>
    <s v="Y"/>
    <x v="0"/>
    <n v="11"/>
    <n v="3"/>
    <n v="1"/>
    <n v="80"/>
    <n v="1"/>
    <n v="9"/>
    <n v="3"/>
    <x v="3"/>
    <x v="8"/>
    <n v="4"/>
    <n v="0"/>
    <n v="3"/>
  </r>
  <r>
    <n v="56"/>
    <x v="1"/>
    <s v="Travel_Rarely"/>
    <n v="713"/>
    <x v="1"/>
    <n v="8"/>
    <n v="3"/>
    <s v="Life Sciences"/>
    <n v="1"/>
    <n v="241"/>
    <x v="1"/>
    <s v="Female"/>
    <n v="67"/>
    <n v="3"/>
    <n v="1"/>
    <x v="1"/>
    <x v="3"/>
    <s v="Divorced"/>
    <n v="4257"/>
    <n v="13939"/>
    <n v="4"/>
    <s v="Y"/>
    <x v="0"/>
    <n v="18"/>
    <n v="3"/>
    <n v="3"/>
    <n v="80"/>
    <n v="1"/>
    <n v="19"/>
    <n v="3"/>
    <x v="1"/>
    <x v="4"/>
    <n v="2"/>
    <n v="2"/>
    <n v="2"/>
  </r>
  <r>
    <n v="33"/>
    <x v="1"/>
    <s v="Travel_Rarely"/>
    <n v="134"/>
    <x v="1"/>
    <n v="2"/>
    <n v="3"/>
    <s v="Life Sciences"/>
    <n v="1"/>
    <n v="242"/>
    <x v="1"/>
    <s v="Male"/>
    <n v="90"/>
    <n v="3"/>
    <n v="1"/>
    <x v="1"/>
    <x v="0"/>
    <s v="Single"/>
    <n v="2500"/>
    <n v="10515"/>
    <n v="0"/>
    <s v="Y"/>
    <x v="1"/>
    <n v="14"/>
    <n v="3"/>
    <n v="1"/>
    <n v="80"/>
    <n v="0"/>
    <n v="4"/>
    <n v="2"/>
    <x v="3"/>
    <x v="11"/>
    <n v="1"/>
    <n v="0"/>
    <n v="2"/>
  </r>
  <r>
    <n v="19"/>
    <x v="0"/>
    <s v="Travel_Rarely"/>
    <n v="303"/>
    <x v="1"/>
    <n v="2"/>
    <n v="3"/>
    <s v="Life Sciences"/>
    <n v="1"/>
    <n v="243"/>
    <x v="0"/>
    <s v="Male"/>
    <n v="47"/>
    <n v="2"/>
    <n v="1"/>
    <x v="2"/>
    <x v="0"/>
    <s v="Single"/>
    <n v="1102"/>
    <n v="9241"/>
    <n v="1"/>
    <s v="Y"/>
    <x v="1"/>
    <n v="22"/>
    <n v="4"/>
    <n v="3"/>
    <n v="80"/>
    <n v="0"/>
    <n v="1"/>
    <n v="3"/>
    <x v="2"/>
    <x v="6"/>
    <n v="0"/>
    <n v="1"/>
    <n v="0"/>
  </r>
  <r>
    <n v="46"/>
    <x v="1"/>
    <s v="Travel_Rarely"/>
    <n v="526"/>
    <x v="0"/>
    <n v="1"/>
    <n v="2"/>
    <s v="Marketing"/>
    <n v="1"/>
    <n v="244"/>
    <x v="0"/>
    <s v="Female"/>
    <n v="92"/>
    <n v="3"/>
    <n v="3"/>
    <x v="0"/>
    <x v="3"/>
    <s v="Divorced"/>
    <n v="10453"/>
    <n v="2137"/>
    <n v="1"/>
    <s v="Y"/>
    <x v="1"/>
    <n v="25"/>
    <n v="4"/>
    <n v="3"/>
    <n v="80"/>
    <n v="3"/>
    <n v="24"/>
    <n v="2"/>
    <x v="1"/>
    <x v="25"/>
    <n v="13"/>
    <n v="15"/>
    <n v="7"/>
  </r>
  <r>
    <n v="38"/>
    <x v="1"/>
    <s v="Travel_Rarely"/>
    <n v="1380"/>
    <x v="1"/>
    <n v="9"/>
    <n v="2"/>
    <s v="Life Sciences"/>
    <n v="1"/>
    <n v="245"/>
    <x v="1"/>
    <s v="Female"/>
    <n v="75"/>
    <n v="3"/>
    <n v="1"/>
    <x v="2"/>
    <x v="0"/>
    <s v="Single"/>
    <n v="2288"/>
    <n v="6319"/>
    <n v="1"/>
    <s v="Y"/>
    <x v="1"/>
    <n v="12"/>
    <n v="3"/>
    <n v="3"/>
    <n v="80"/>
    <n v="0"/>
    <n v="2"/>
    <n v="3"/>
    <x v="1"/>
    <x v="4"/>
    <n v="2"/>
    <n v="2"/>
    <n v="1"/>
  </r>
  <r>
    <n v="31"/>
    <x v="1"/>
    <s v="Travel_Rarely"/>
    <n v="140"/>
    <x v="1"/>
    <n v="12"/>
    <n v="1"/>
    <s v="Medical"/>
    <n v="1"/>
    <n v="246"/>
    <x v="1"/>
    <s v="Female"/>
    <n v="95"/>
    <n v="3"/>
    <n v="1"/>
    <x v="1"/>
    <x v="0"/>
    <s v="Married"/>
    <n v="3929"/>
    <n v="6984"/>
    <n v="8"/>
    <s v="Y"/>
    <x v="0"/>
    <n v="23"/>
    <n v="4"/>
    <n v="3"/>
    <n v="80"/>
    <n v="1"/>
    <n v="7"/>
    <n v="0"/>
    <x v="1"/>
    <x v="9"/>
    <n v="2"/>
    <n v="0"/>
    <n v="2"/>
  </r>
  <r>
    <n v="34"/>
    <x v="1"/>
    <s v="Travel_Rarely"/>
    <n v="629"/>
    <x v="1"/>
    <n v="27"/>
    <n v="2"/>
    <s v="Medical"/>
    <n v="1"/>
    <n v="247"/>
    <x v="2"/>
    <s v="Female"/>
    <n v="95"/>
    <n v="3"/>
    <n v="1"/>
    <x v="1"/>
    <x v="1"/>
    <s v="Single"/>
    <n v="2311"/>
    <n v="5711"/>
    <n v="2"/>
    <s v="Y"/>
    <x v="1"/>
    <n v="15"/>
    <n v="3"/>
    <n v="4"/>
    <n v="80"/>
    <n v="0"/>
    <n v="9"/>
    <n v="3"/>
    <x v="1"/>
    <x v="11"/>
    <n v="2"/>
    <n v="1"/>
    <n v="2"/>
  </r>
  <r>
    <n v="41"/>
    <x v="0"/>
    <s v="Travel_Rarely"/>
    <n v="1356"/>
    <x v="0"/>
    <n v="20"/>
    <n v="2"/>
    <s v="Marketing"/>
    <n v="1"/>
    <n v="248"/>
    <x v="0"/>
    <s v="Female"/>
    <n v="70"/>
    <n v="3"/>
    <n v="1"/>
    <x v="6"/>
    <x v="1"/>
    <s v="Single"/>
    <n v="3140"/>
    <n v="21728"/>
    <n v="1"/>
    <s v="Y"/>
    <x v="0"/>
    <n v="22"/>
    <n v="4"/>
    <n v="4"/>
    <n v="80"/>
    <n v="0"/>
    <n v="4"/>
    <n v="5"/>
    <x v="2"/>
    <x v="9"/>
    <n v="3"/>
    <n v="0"/>
    <n v="2"/>
  </r>
  <r>
    <n v="50"/>
    <x v="1"/>
    <s v="Travel_Rarely"/>
    <n v="328"/>
    <x v="1"/>
    <n v="1"/>
    <n v="3"/>
    <s v="Medical"/>
    <n v="1"/>
    <n v="249"/>
    <x v="1"/>
    <s v="Male"/>
    <n v="86"/>
    <n v="2"/>
    <n v="1"/>
    <x v="2"/>
    <x v="2"/>
    <s v="Married"/>
    <n v="3690"/>
    <n v="3425"/>
    <n v="2"/>
    <s v="Y"/>
    <x v="1"/>
    <n v="15"/>
    <n v="3"/>
    <n v="4"/>
    <n v="80"/>
    <n v="1"/>
    <n v="5"/>
    <n v="2"/>
    <x v="2"/>
    <x v="11"/>
    <n v="2"/>
    <n v="0"/>
    <n v="2"/>
  </r>
  <r>
    <n v="53"/>
    <x v="1"/>
    <s v="Travel_Rarely"/>
    <n v="1084"/>
    <x v="1"/>
    <n v="13"/>
    <n v="2"/>
    <s v="Medical"/>
    <n v="1"/>
    <n v="250"/>
    <x v="2"/>
    <s v="Female"/>
    <n v="57"/>
    <n v="4"/>
    <n v="2"/>
    <x v="3"/>
    <x v="3"/>
    <s v="Divorced"/>
    <n v="4450"/>
    <n v="26250"/>
    <n v="1"/>
    <s v="Y"/>
    <x v="1"/>
    <n v="11"/>
    <n v="3"/>
    <n v="3"/>
    <n v="80"/>
    <n v="2"/>
    <n v="5"/>
    <n v="3"/>
    <x v="1"/>
    <x v="9"/>
    <n v="2"/>
    <n v="1"/>
    <n v="3"/>
  </r>
  <r>
    <n v="33"/>
    <x v="1"/>
    <s v="Travel_Rarely"/>
    <n v="931"/>
    <x v="1"/>
    <n v="14"/>
    <n v="3"/>
    <s v="Medical"/>
    <n v="1"/>
    <n v="252"/>
    <x v="2"/>
    <s v="Female"/>
    <n v="72"/>
    <n v="3"/>
    <n v="1"/>
    <x v="1"/>
    <x v="1"/>
    <s v="Married"/>
    <n v="2756"/>
    <n v="4673"/>
    <n v="1"/>
    <s v="Y"/>
    <x v="1"/>
    <n v="13"/>
    <n v="3"/>
    <n v="4"/>
    <n v="80"/>
    <n v="1"/>
    <n v="8"/>
    <n v="5"/>
    <x v="1"/>
    <x v="3"/>
    <n v="7"/>
    <n v="1"/>
    <n v="6"/>
  </r>
  <r>
    <n v="40"/>
    <x v="1"/>
    <s v="Travel_Rarely"/>
    <n v="989"/>
    <x v="1"/>
    <n v="4"/>
    <n v="1"/>
    <s v="Medical"/>
    <n v="1"/>
    <n v="253"/>
    <x v="2"/>
    <s v="Female"/>
    <n v="46"/>
    <n v="3"/>
    <n v="5"/>
    <x v="5"/>
    <x v="2"/>
    <s v="Married"/>
    <n v="19033"/>
    <n v="6499"/>
    <n v="1"/>
    <s v="Y"/>
    <x v="1"/>
    <n v="14"/>
    <n v="3"/>
    <n v="2"/>
    <n v="80"/>
    <n v="1"/>
    <n v="21"/>
    <n v="2"/>
    <x v="1"/>
    <x v="23"/>
    <n v="8"/>
    <n v="9"/>
    <n v="9"/>
  </r>
  <r>
    <n v="55"/>
    <x v="1"/>
    <s v="Travel_Rarely"/>
    <n v="692"/>
    <x v="1"/>
    <n v="14"/>
    <n v="4"/>
    <s v="Medical"/>
    <n v="1"/>
    <n v="254"/>
    <x v="1"/>
    <s v="Male"/>
    <n v="61"/>
    <n v="4"/>
    <n v="5"/>
    <x v="7"/>
    <x v="1"/>
    <s v="Single"/>
    <n v="18722"/>
    <n v="13339"/>
    <n v="8"/>
    <s v="Y"/>
    <x v="1"/>
    <n v="11"/>
    <n v="3"/>
    <n v="4"/>
    <n v="80"/>
    <n v="0"/>
    <n v="36"/>
    <n v="3"/>
    <x v="1"/>
    <x v="25"/>
    <n v="15"/>
    <n v="2"/>
    <n v="15"/>
  </r>
  <r>
    <n v="34"/>
    <x v="1"/>
    <s v="Travel_Frequently"/>
    <n v="1069"/>
    <x v="1"/>
    <n v="2"/>
    <n v="1"/>
    <s v="Life Sciences"/>
    <n v="1"/>
    <n v="256"/>
    <x v="2"/>
    <s v="Male"/>
    <n v="45"/>
    <n v="2"/>
    <n v="2"/>
    <x v="3"/>
    <x v="2"/>
    <s v="Married"/>
    <n v="9547"/>
    <n v="14074"/>
    <n v="1"/>
    <s v="Y"/>
    <x v="1"/>
    <n v="17"/>
    <n v="3"/>
    <n v="3"/>
    <n v="80"/>
    <n v="0"/>
    <n v="10"/>
    <n v="2"/>
    <x v="2"/>
    <x v="1"/>
    <n v="9"/>
    <n v="1"/>
    <n v="9"/>
  </r>
  <r>
    <n v="51"/>
    <x v="1"/>
    <s v="Travel_Rarely"/>
    <n v="313"/>
    <x v="1"/>
    <n v="3"/>
    <n v="3"/>
    <s v="Medical"/>
    <n v="1"/>
    <n v="258"/>
    <x v="2"/>
    <s v="Female"/>
    <n v="98"/>
    <n v="3"/>
    <n v="4"/>
    <x v="4"/>
    <x v="1"/>
    <s v="Single"/>
    <n v="13734"/>
    <n v="7192"/>
    <n v="3"/>
    <s v="Y"/>
    <x v="1"/>
    <n v="18"/>
    <n v="3"/>
    <n v="3"/>
    <n v="80"/>
    <n v="0"/>
    <n v="21"/>
    <n v="6"/>
    <x v="1"/>
    <x v="5"/>
    <n v="7"/>
    <n v="1"/>
    <n v="0"/>
  </r>
  <r>
    <n v="52"/>
    <x v="1"/>
    <s v="Travel_Rarely"/>
    <n v="699"/>
    <x v="1"/>
    <n v="1"/>
    <n v="4"/>
    <s v="Life Sciences"/>
    <n v="1"/>
    <n v="259"/>
    <x v="1"/>
    <s v="Male"/>
    <n v="65"/>
    <n v="2"/>
    <n v="5"/>
    <x v="5"/>
    <x v="2"/>
    <s v="Married"/>
    <n v="19999"/>
    <n v="5678"/>
    <n v="0"/>
    <s v="Y"/>
    <x v="1"/>
    <n v="14"/>
    <n v="3"/>
    <n v="1"/>
    <n v="80"/>
    <n v="1"/>
    <n v="34"/>
    <n v="5"/>
    <x v="1"/>
    <x v="26"/>
    <n v="18"/>
    <n v="11"/>
    <n v="9"/>
  </r>
  <r>
    <n v="27"/>
    <x v="1"/>
    <s v="Travel_Rarely"/>
    <n v="894"/>
    <x v="1"/>
    <n v="9"/>
    <n v="3"/>
    <s v="Medical"/>
    <n v="1"/>
    <n v="260"/>
    <x v="2"/>
    <s v="Female"/>
    <n v="99"/>
    <n v="3"/>
    <n v="1"/>
    <x v="1"/>
    <x v="1"/>
    <s v="Single"/>
    <n v="2279"/>
    <n v="11781"/>
    <n v="1"/>
    <s v="Y"/>
    <x v="1"/>
    <n v="16"/>
    <n v="3"/>
    <n v="4"/>
    <n v="80"/>
    <n v="0"/>
    <n v="7"/>
    <n v="2"/>
    <x v="2"/>
    <x v="5"/>
    <n v="7"/>
    <n v="0"/>
    <n v="3"/>
  </r>
  <r>
    <n v="35"/>
    <x v="0"/>
    <s v="Travel_Rarely"/>
    <n v="556"/>
    <x v="1"/>
    <n v="23"/>
    <n v="2"/>
    <s v="Life Sciences"/>
    <n v="1"/>
    <n v="261"/>
    <x v="0"/>
    <s v="Male"/>
    <n v="50"/>
    <n v="2"/>
    <n v="2"/>
    <x v="3"/>
    <x v="2"/>
    <s v="Married"/>
    <n v="5916"/>
    <n v="15497"/>
    <n v="3"/>
    <s v="Y"/>
    <x v="0"/>
    <n v="13"/>
    <n v="3"/>
    <n v="1"/>
    <n v="80"/>
    <n v="0"/>
    <n v="8"/>
    <n v="1"/>
    <x v="1"/>
    <x v="6"/>
    <n v="0"/>
    <n v="0"/>
    <n v="1"/>
  </r>
  <r>
    <n v="43"/>
    <x v="1"/>
    <s v="Non-Travel"/>
    <n v="1344"/>
    <x v="1"/>
    <n v="7"/>
    <n v="3"/>
    <s v="Medical"/>
    <n v="1"/>
    <n v="262"/>
    <x v="2"/>
    <s v="Male"/>
    <n v="37"/>
    <n v="4"/>
    <n v="1"/>
    <x v="1"/>
    <x v="0"/>
    <s v="Divorced"/>
    <n v="2089"/>
    <n v="5228"/>
    <n v="4"/>
    <s v="Y"/>
    <x v="1"/>
    <n v="14"/>
    <n v="3"/>
    <n v="4"/>
    <n v="80"/>
    <n v="3"/>
    <n v="7"/>
    <n v="3"/>
    <x v="3"/>
    <x v="8"/>
    <n v="4"/>
    <n v="2"/>
    <n v="2"/>
  </r>
  <r>
    <n v="45"/>
    <x v="1"/>
    <s v="Non-Travel"/>
    <n v="1195"/>
    <x v="1"/>
    <n v="2"/>
    <n v="2"/>
    <s v="Medical"/>
    <n v="1"/>
    <n v="264"/>
    <x v="3"/>
    <s v="Male"/>
    <n v="65"/>
    <n v="2"/>
    <n v="4"/>
    <x v="5"/>
    <x v="0"/>
    <s v="Married"/>
    <n v="16792"/>
    <n v="20462"/>
    <n v="9"/>
    <s v="Y"/>
    <x v="1"/>
    <n v="23"/>
    <n v="4"/>
    <n v="4"/>
    <n v="80"/>
    <n v="1"/>
    <n v="22"/>
    <n v="1"/>
    <x v="1"/>
    <x v="23"/>
    <n v="8"/>
    <n v="11"/>
    <n v="8"/>
  </r>
  <r>
    <n v="37"/>
    <x v="1"/>
    <s v="Travel_Rarely"/>
    <n v="290"/>
    <x v="1"/>
    <n v="21"/>
    <n v="3"/>
    <s v="Life Sciences"/>
    <n v="1"/>
    <n v="267"/>
    <x v="0"/>
    <s v="Male"/>
    <n v="65"/>
    <n v="4"/>
    <n v="1"/>
    <x v="1"/>
    <x v="3"/>
    <s v="Married"/>
    <n v="3564"/>
    <n v="22977"/>
    <n v="1"/>
    <s v="Y"/>
    <x v="0"/>
    <n v="12"/>
    <n v="3"/>
    <n v="1"/>
    <n v="80"/>
    <n v="1"/>
    <n v="8"/>
    <n v="3"/>
    <x v="2"/>
    <x v="3"/>
    <n v="7"/>
    <n v="1"/>
    <n v="7"/>
  </r>
  <r>
    <n v="35"/>
    <x v="1"/>
    <s v="Travel_Frequently"/>
    <n v="138"/>
    <x v="1"/>
    <n v="2"/>
    <n v="3"/>
    <s v="Medical"/>
    <n v="1"/>
    <n v="269"/>
    <x v="0"/>
    <s v="Female"/>
    <n v="37"/>
    <n v="3"/>
    <n v="2"/>
    <x v="2"/>
    <x v="1"/>
    <s v="Single"/>
    <n v="4425"/>
    <n v="15986"/>
    <n v="5"/>
    <s v="Y"/>
    <x v="1"/>
    <n v="11"/>
    <n v="3"/>
    <n v="4"/>
    <n v="80"/>
    <n v="0"/>
    <n v="10"/>
    <n v="5"/>
    <x v="1"/>
    <x v="0"/>
    <n v="2"/>
    <n v="1"/>
    <n v="2"/>
  </r>
  <r>
    <n v="42"/>
    <x v="1"/>
    <s v="Non-Travel"/>
    <n v="926"/>
    <x v="1"/>
    <n v="21"/>
    <n v="2"/>
    <s v="Medical"/>
    <n v="1"/>
    <n v="270"/>
    <x v="1"/>
    <s v="Female"/>
    <n v="36"/>
    <n v="3"/>
    <n v="2"/>
    <x v="3"/>
    <x v="2"/>
    <s v="Divorced"/>
    <n v="5265"/>
    <n v="16439"/>
    <n v="2"/>
    <s v="Y"/>
    <x v="1"/>
    <n v="16"/>
    <n v="3"/>
    <n v="2"/>
    <n v="80"/>
    <n v="1"/>
    <n v="11"/>
    <n v="5"/>
    <x v="1"/>
    <x v="8"/>
    <n v="3"/>
    <n v="0"/>
    <n v="2"/>
  </r>
  <r>
    <n v="38"/>
    <x v="1"/>
    <s v="Travel_Rarely"/>
    <n v="1261"/>
    <x v="1"/>
    <n v="2"/>
    <n v="4"/>
    <s v="Life Sciences"/>
    <n v="1"/>
    <n v="271"/>
    <x v="2"/>
    <s v="Male"/>
    <n v="88"/>
    <n v="3"/>
    <n v="2"/>
    <x v="3"/>
    <x v="2"/>
    <s v="Married"/>
    <n v="6553"/>
    <n v="7259"/>
    <n v="9"/>
    <s v="Y"/>
    <x v="1"/>
    <n v="14"/>
    <n v="3"/>
    <n v="2"/>
    <n v="80"/>
    <n v="0"/>
    <n v="14"/>
    <n v="3"/>
    <x v="1"/>
    <x v="6"/>
    <n v="0"/>
    <n v="0"/>
    <n v="0"/>
  </r>
  <r>
    <n v="38"/>
    <x v="1"/>
    <s v="Travel_Rarely"/>
    <n v="1084"/>
    <x v="1"/>
    <n v="29"/>
    <n v="3"/>
    <s v="Technical Degree"/>
    <n v="1"/>
    <n v="273"/>
    <x v="2"/>
    <s v="Male"/>
    <n v="54"/>
    <n v="3"/>
    <n v="2"/>
    <x v="3"/>
    <x v="0"/>
    <s v="Married"/>
    <n v="6261"/>
    <n v="4185"/>
    <n v="3"/>
    <s v="Y"/>
    <x v="1"/>
    <n v="18"/>
    <n v="3"/>
    <n v="1"/>
    <n v="80"/>
    <n v="1"/>
    <n v="9"/>
    <n v="3"/>
    <x v="0"/>
    <x v="5"/>
    <n v="7"/>
    <n v="1"/>
    <n v="7"/>
  </r>
  <r>
    <n v="27"/>
    <x v="1"/>
    <s v="Travel_Frequently"/>
    <n v="472"/>
    <x v="1"/>
    <n v="1"/>
    <n v="1"/>
    <s v="Technical Degree"/>
    <n v="1"/>
    <n v="274"/>
    <x v="1"/>
    <s v="Male"/>
    <n v="60"/>
    <n v="2"/>
    <n v="2"/>
    <x v="3"/>
    <x v="3"/>
    <s v="Married"/>
    <n v="4298"/>
    <n v="9679"/>
    <n v="5"/>
    <s v="Y"/>
    <x v="1"/>
    <n v="19"/>
    <n v="3"/>
    <n v="3"/>
    <n v="80"/>
    <n v="1"/>
    <n v="6"/>
    <n v="1"/>
    <x v="1"/>
    <x v="4"/>
    <n v="2"/>
    <n v="2"/>
    <n v="0"/>
  </r>
  <r>
    <n v="49"/>
    <x v="1"/>
    <s v="Non-Travel"/>
    <n v="1002"/>
    <x v="1"/>
    <n v="18"/>
    <n v="4"/>
    <s v="Life Sciences"/>
    <n v="1"/>
    <n v="275"/>
    <x v="2"/>
    <s v="Male"/>
    <n v="92"/>
    <n v="3"/>
    <n v="2"/>
    <x v="3"/>
    <x v="0"/>
    <s v="Divorced"/>
    <n v="6804"/>
    <n v="23793"/>
    <n v="1"/>
    <s v="Y"/>
    <x v="0"/>
    <n v="15"/>
    <n v="3"/>
    <n v="1"/>
    <n v="80"/>
    <n v="2"/>
    <n v="7"/>
    <n v="0"/>
    <x v="1"/>
    <x v="5"/>
    <n v="7"/>
    <n v="1"/>
    <n v="7"/>
  </r>
  <r>
    <n v="34"/>
    <x v="1"/>
    <s v="Travel_Frequently"/>
    <n v="878"/>
    <x v="1"/>
    <n v="10"/>
    <n v="4"/>
    <s v="Medical"/>
    <n v="1"/>
    <n v="277"/>
    <x v="2"/>
    <s v="Male"/>
    <n v="43"/>
    <n v="3"/>
    <n v="1"/>
    <x v="1"/>
    <x v="2"/>
    <s v="Divorced"/>
    <n v="3815"/>
    <n v="5972"/>
    <n v="1"/>
    <s v="Y"/>
    <x v="0"/>
    <n v="17"/>
    <n v="3"/>
    <n v="4"/>
    <n v="80"/>
    <n v="1"/>
    <n v="5"/>
    <n v="4"/>
    <x v="3"/>
    <x v="8"/>
    <n v="3"/>
    <n v="2"/>
    <n v="0"/>
  </r>
  <r>
    <n v="40"/>
    <x v="1"/>
    <s v="Travel_Rarely"/>
    <n v="905"/>
    <x v="1"/>
    <n v="19"/>
    <n v="2"/>
    <s v="Medical"/>
    <n v="1"/>
    <n v="281"/>
    <x v="1"/>
    <s v="Male"/>
    <n v="99"/>
    <n v="3"/>
    <n v="2"/>
    <x v="2"/>
    <x v="0"/>
    <s v="Married"/>
    <n v="2741"/>
    <n v="16523"/>
    <n v="8"/>
    <s v="Y"/>
    <x v="0"/>
    <n v="15"/>
    <n v="3"/>
    <n v="3"/>
    <n v="80"/>
    <n v="1"/>
    <n v="15"/>
    <n v="2"/>
    <x v="3"/>
    <x v="5"/>
    <n v="2"/>
    <n v="3"/>
    <n v="7"/>
  </r>
  <r>
    <n v="38"/>
    <x v="0"/>
    <s v="Travel_Rarely"/>
    <n v="1180"/>
    <x v="1"/>
    <n v="29"/>
    <n v="1"/>
    <s v="Medical"/>
    <n v="1"/>
    <n v="282"/>
    <x v="0"/>
    <s v="Male"/>
    <n v="70"/>
    <n v="3"/>
    <n v="2"/>
    <x v="4"/>
    <x v="3"/>
    <s v="Married"/>
    <n v="6673"/>
    <n v="11354"/>
    <n v="7"/>
    <s v="Y"/>
    <x v="0"/>
    <n v="19"/>
    <n v="3"/>
    <n v="2"/>
    <n v="80"/>
    <n v="0"/>
    <n v="17"/>
    <n v="2"/>
    <x v="1"/>
    <x v="6"/>
    <n v="0"/>
    <n v="0"/>
    <n v="0"/>
  </r>
  <r>
    <n v="29"/>
    <x v="0"/>
    <s v="Travel_Rarely"/>
    <n v="121"/>
    <x v="0"/>
    <n v="27"/>
    <n v="3"/>
    <s v="Marketing"/>
    <n v="1"/>
    <n v="283"/>
    <x v="0"/>
    <s v="Female"/>
    <n v="35"/>
    <n v="3"/>
    <n v="3"/>
    <x v="0"/>
    <x v="0"/>
    <s v="Married"/>
    <n v="7639"/>
    <n v="24525"/>
    <n v="1"/>
    <s v="Y"/>
    <x v="1"/>
    <n v="22"/>
    <n v="4"/>
    <n v="4"/>
    <n v="80"/>
    <n v="3"/>
    <n v="10"/>
    <n v="3"/>
    <x v="2"/>
    <x v="1"/>
    <n v="4"/>
    <n v="1"/>
    <n v="9"/>
  </r>
  <r>
    <n v="22"/>
    <x v="1"/>
    <s v="Travel_Rarely"/>
    <n v="1136"/>
    <x v="1"/>
    <n v="5"/>
    <n v="3"/>
    <s v="Life Sciences"/>
    <n v="1"/>
    <n v="284"/>
    <x v="2"/>
    <s v="Male"/>
    <n v="60"/>
    <n v="4"/>
    <n v="1"/>
    <x v="1"/>
    <x v="1"/>
    <s v="Divorced"/>
    <n v="2328"/>
    <n v="12392"/>
    <n v="1"/>
    <s v="Y"/>
    <x v="0"/>
    <n v="16"/>
    <n v="3"/>
    <n v="1"/>
    <n v="80"/>
    <n v="1"/>
    <n v="4"/>
    <n v="2"/>
    <x v="2"/>
    <x v="9"/>
    <n v="2"/>
    <n v="2"/>
    <n v="2"/>
  </r>
  <r>
    <n v="36"/>
    <x v="1"/>
    <s v="Travel_Frequently"/>
    <n v="635"/>
    <x v="1"/>
    <n v="18"/>
    <n v="1"/>
    <s v="Medical"/>
    <n v="1"/>
    <n v="286"/>
    <x v="0"/>
    <s v="Female"/>
    <n v="73"/>
    <n v="3"/>
    <n v="1"/>
    <x v="2"/>
    <x v="0"/>
    <s v="Single"/>
    <n v="2153"/>
    <n v="7703"/>
    <n v="1"/>
    <s v="Y"/>
    <x v="1"/>
    <n v="13"/>
    <n v="3"/>
    <n v="1"/>
    <n v="80"/>
    <n v="0"/>
    <n v="8"/>
    <n v="2"/>
    <x v="1"/>
    <x v="3"/>
    <n v="1"/>
    <n v="1"/>
    <n v="7"/>
  </r>
  <r>
    <n v="40"/>
    <x v="1"/>
    <s v="Non-Travel"/>
    <n v="1151"/>
    <x v="1"/>
    <n v="9"/>
    <n v="5"/>
    <s v="Life Sciences"/>
    <n v="1"/>
    <n v="287"/>
    <x v="2"/>
    <s v="Male"/>
    <n v="63"/>
    <n v="2"/>
    <n v="2"/>
    <x v="4"/>
    <x v="0"/>
    <s v="Married"/>
    <n v="4876"/>
    <n v="14242"/>
    <n v="9"/>
    <s v="Y"/>
    <x v="1"/>
    <n v="14"/>
    <n v="3"/>
    <n v="4"/>
    <n v="80"/>
    <n v="1"/>
    <n v="5"/>
    <n v="5"/>
    <x v="0"/>
    <x v="11"/>
    <n v="2"/>
    <n v="0"/>
    <n v="2"/>
  </r>
  <r>
    <n v="46"/>
    <x v="1"/>
    <s v="Travel_Rarely"/>
    <n v="644"/>
    <x v="1"/>
    <n v="1"/>
    <n v="4"/>
    <s v="Medical"/>
    <n v="1"/>
    <n v="288"/>
    <x v="2"/>
    <s v="Male"/>
    <n v="97"/>
    <n v="3"/>
    <n v="3"/>
    <x v="4"/>
    <x v="3"/>
    <s v="Divorced"/>
    <n v="9396"/>
    <n v="12368"/>
    <n v="7"/>
    <s v="Y"/>
    <x v="1"/>
    <n v="16"/>
    <n v="3"/>
    <n v="3"/>
    <n v="80"/>
    <n v="1"/>
    <n v="17"/>
    <n v="3"/>
    <x v="1"/>
    <x v="9"/>
    <n v="2"/>
    <n v="0"/>
    <n v="3"/>
  </r>
  <r>
    <n v="32"/>
    <x v="0"/>
    <s v="Travel_Rarely"/>
    <n v="1045"/>
    <x v="0"/>
    <n v="4"/>
    <n v="4"/>
    <s v="Medical"/>
    <n v="1"/>
    <n v="291"/>
    <x v="2"/>
    <s v="Male"/>
    <n v="32"/>
    <n v="1"/>
    <n v="3"/>
    <x v="0"/>
    <x v="0"/>
    <s v="Married"/>
    <n v="10400"/>
    <n v="25812"/>
    <n v="1"/>
    <s v="Y"/>
    <x v="1"/>
    <n v="11"/>
    <n v="3"/>
    <n v="3"/>
    <n v="80"/>
    <n v="0"/>
    <n v="14"/>
    <n v="2"/>
    <x v="2"/>
    <x v="13"/>
    <n v="8"/>
    <n v="9"/>
    <n v="8"/>
  </r>
  <r>
    <n v="30"/>
    <x v="1"/>
    <s v="Non-Travel"/>
    <n v="829"/>
    <x v="1"/>
    <n v="1"/>
    <n v="1"/>
    <s v="Life Sciences"/>
    <n v="1"/>
    <n v="292"/>
    <x v="1"/>
    <s v="Male"/>
    <n v="88"/>
    <n v="2"/>
    <n v="3"/>
    <x v="3"/>
    <x v="2"/>
    <s v="Single"/>
    <n v="8474"/>
    <n v="20925"/>
    <n v="1"/>
    <s v="Y"/>
    <x v="1"/>
    <n v="22"/>
    <n v="4"/>
    <n v="3"/>
    <n v="80"/>
    <n v="0"/>
    <n v="12"/>
    <n v="2"/>
    <x v="1"/>
    <x v="19"/>
    <n v="8"/>
    <n v="5"/>
    <n v="8"/>
  </r>
  <r>
    <n v="27"/>
    <x v="1"/>
    <s v="Travel_Frequently"/>
    <n v="1242"/>
    <x v="0"/>
    <n v="20"/>
    <n v="3"/>
    <s v="Life Sciences"/>
    <n v="1"/>
    <n v="293"/>
    <x v="2"/>
    <s v="Female"/>
    <n v="90"/>
    <n v="3"/>
    <n v="2"/>
    <x v="0"/>
    <x v="2"/>
    <s v="Single"/>
    <n v="9981"/>
    <n v="12916"/>
    <n v="1"/>
    <s v="Y"/>
    <x v="1"/>
    <n v="14"/>
    <n v="3"/>
    <n v="4"/>
    <n v="80"/>
    <n v="0"/>
    <n v="7"/>
    <n v="2"/>
    <x v="1"/>
    <x v="5"/>
    <n v="7"/>
    <n v="0"/>
    <n v="7"/>
  </r>
  <r>
    <n v="51"/>
    <x v="1"/>
    <s v="Travel_Rarely"/>
    <n v="1469"/>
    <x v="1"/>
    <n v="8"/>
    <n v="4"/>
    <s v="Life Sciences"/>
    <n v="1"/>
    <n v="296"/>
    <x v="0"/>
    <s v="Male"/>
    <n v="81"/>
    <n v="2"/>
    <n v="3"/>
    <x v="7"/>
    <x v="1"/>
    <s v="Married"/>
    <n v="12490"/>
    <n v="15736"/>
    <n v="5"/>
    <s v="Y"/>
    <x v="1"/>
    <n v="16"/>
    <n v="3"/>
    <n v="4"/>
    <n v="80"/>
    <n v="2"/>
    <n v="16"/>
    <n v="5"/>
    <x v="0"/>
    <x v="1"/>
    <n v="9"/>
    <n v="4"/>
    <n v="7"/>
  </r>
  <r>
    <n v="30"/>
    <x v="0"/>
    <s v="Travel_Rarely"/>
    <n v="1005"/>
    <x v="1"/>
    <n v="3"/>
    <n v="3"/>
    <s v="Technical Degree"/>
    <n v="1"/>
    <n v="297"/>
    <x v="2"/>
    <s v="Female"/>
    <n v="88"/>
    <n v="3"/>
    <n v="1"/>
    <x v="1"/>
    <x v="3"/>
    <s v="Single"/>
    <n v="2657"/>
    <n v="8556"/>
    <n v="5"/>
    <s v="Y"/>
    <x v="0"/>
    <n v="11"/>
    <n v="3"/>
    <n v="3"/>
    <n v="80"/>
    <n v="0"/>
    <n v="8"/>
    <n v="5"/>
    <x v="1"/>
    <x v="8"/>
    <n v="2"/>
    <n v="0"/>
    <n v="4"/>
  </r>
  <r>
    <n v="41"/>
    <x v="1"/>
    <s v="Travel_Rarely"/>
    <n v="896"/>
    <x v="0"/>
    <n v="6"/>
    <n v="3"/>
    <s v="Life Sciences"/>
    <n v="1"/>
    <n v="298"/>
    <x v="2"/>
    <s v="Female"/>
    <n v="75"/>
    <n v="3"/>
    <n v="3"/>
    <x v="5"/>
    <x v="0"/>
    <s v="Single"/>
    <n v="13591"/>
    <n v="14674"/>
    <n v="3"/>
    <s v="Y"/>
    <x v="0"/>
    <n v="18"/>
    <n v="3"/>
    <n v="3"/>
    <n v="80"/>
    <n v="0"/>
    <n v="16"/>
    <n v="3"/>
    <x v="1"/>
    <x v="6"/>
    <n v="0"/>
    <n v="0"/>
    <n v="0"/>
  </r>
  <r>
    <n v="30"/>
    <x v="0"/>
    <s v="Travel_Frequently"/>
    <n v="334"/>
    <x v="0"/>
    <n v="26"/>
    <n v="4"/>
    <s v="Marketing"/>
    <n v="1"/>
    <n v="299"/>
    <x v="1"/>
    <s v="Female"/>
    <n v="52"/>
    <n v="2"/>
    <n v="2"/>
    <x v="0"/>
    <x v="3"/>
    <s v="Single"/>
    <n v="6696"/>
    <n v="22967"/>
    <n v="5"/>
    <s v="Y"/>
    <x v="1"/>
    <n v="15"/>
    <n v="3"/>
    <n v="3"/>
    <n v="80"/>
    <n v="0"/>
    <n v="9"/>
    <n v="5"/>
    <x v="2"/>
    <x v="0"/>
    <n v="3"/>
    <n v="0"/>
    <n v="1"/>
  </r>
  <r>
    <n v="29"/>
    <x v="0"/>
    <s v="Travel_Rarely"/>
    <n v="992"/>
    <x v="1"/>
    <n v="1"/>
    <n v="3"/>
    <s v="Technical Degree"/>
    <n v="1"/>
    <n v="300"/>
    <x v="1"/>
    <s v="Male"/>
    <n v="85"/>
    <n v="3"/>
    <n v="1"/>
    <x v="1"/>
    <x v="2"/>
    <s v="Single"/>
    <n v="2058"/>
    <n v="19757"/>
    <n v="0"/>
    <s v="Y"/>
    <x v="1"/>
    <n v="14"/>
    <n v="3"/>
    <n v="4"/>
    <n v="80"/>
    <n v="0"/>
    <n v="7"/>
    <n v="1"/>
    <x v="2"/>
    <x v="0"/>
    <n v="2"/>
    <n v="1"/>
    <n v="5"/>
  </r>
  <r>
    <n v="45"/>
    <x v="1"/>
    <s v="Non-Travel"/>
    <n v="1052"/>
    <x v="0"/>
    <n v="6"/>
    <n v="3"/>
    <s v="Medical"/>
    <n v="1"/>
    <n v="302"/>
    <x v="2"/>
    <s v="Female"/>
    <n v="57"/>
    <n v="2"/>
    <n v="3"/>
    <x v="0"/>
    <x v="0"/>
    <s v="Single"/>
    <n v="8865"/>
    <n v="16840"/>
    <n v="6"/>
    <s v="Y"/>
    <x v="1"/>
    <n v="12"/>
    <n v="3"/>
    <n v="4"/>
    <n v="80"/>
    <n v="0"/>
    <n v="23"/>
    <n v="2"/>
    <x v="1"/>
    <x v="27"/>
    <n v="7"/>
    <n v="12"/>
    <n v="8"/>
  </r>
  <r>
    <n v="54"/>
    <x v="1"/>
    <s v="Travel_Rarely"/>
    <n v="1147"/>
    <x v="0"/>
    <n v="3"/>
    <n v="3"/>
    <s v="Marketing"/>
    <n v="1"/>
    <n v="303"/>
    <x v="2"/>
    <s v="Female"/>
    <n v="52"/>
    <n v="3"/>
    <n v="2"/>
    <x v="0"/>
    <x v="3"/>
    <s v="Married"/>
    <n v="5940"/>
    <n v="17011"/>
    <n v="2"/>
    <s v="Y"/>
    <x v="1"/>
    <n v="14"/>
    <n v="3"/>
    <n v="4"/>
    <n v="80"/>
    <n v="1"/>
    <n v="16"/>
    <n v="4"/>
    <x v="1"/>
    <x v="0"/>
    <n v="2"/>
    <n v="0"/>
    <n v="5"/>
  </r>
  <r>
    <n v="36"/>
    <x v="1"/>
    <s v="Travel_Rarely"/>
    <n v="1396"/>
    <x v="1"/>
    <n v="5"/>
    <n v="2"/>
    <s v="Life Sciences"/>
    <n v="1"/>
    <n v="304"/>
    <x v="2"/>
    <s v="Male"/>
    <n v="62"/>
    <n v="3"/>
    <n v="2"/>
    <x v="2"/>
    <x v="1"/>
    <s v="Single"/>
    <n v="5914"/>
    <n v="9945"/>
    <n v="8"/>
    <s v="Y"/>
    <x v="1"/>
    <n v="16"/>
    <n v="3"/>
    <n v="4"/>
    <n v="80"/>
    <n v="0"/>
    <n v="16"/>
    <n v="3"/>
    <x v="3"/>
    <x v="20"/>
    <n v="11"/>
    <n v="3"/>
    <n v="7"/>
  </r>
  <r>
    <n v="33"/>
    <x v="1"/>
    <s v="Travel_Rarely"/>
    <n v="147"/>
    <x v="1"/>
    <n v="4"/>
    <n v="4"/>
    <s v="Medical"/>
    <n v="1"/>
    <n v="305"/>
    <x v="1"/>
    <s v="Female"/>
    <n v="47"/>
    <n v="2"/>
    <n v="1"/>
    <x v="1"/>
    <x v="1"/>
    <s v="Married"/>
    <n v="2622"/>
    <n v="13248"/>
    <n v="6"/>
    <s v="Y"/>
    <x v="1"/>
    <n v="21"/>
    <n v="4"/>
    <n v="4"/>
    <n v="80"/>
    <n v="0"/>
    <n v="7"/>
    <n v="3"/>
    <x v="1"/>
    <x v="11"/>
    <n v="2"/>
    <n v="1"/>
    <n v="1"/>
  </r>
  <r>
    <n v="37"/>
    <x v="1"/>
    <s v="Travel_Frequently"/>
    <n v="663"/>
    <x v="1"/>
    <n v="11"/>
    <n v="3"/>
    <s v="Other"/>
    <n v="1"/>
    <n v="306"/>
    <x v="0"/>
    <s v="Male"/>
    <n v="47"/>
    <n v="3"/>
    <n v="3"/>
    <x v="7"/>
    <x v="0"/>
    <s v="Divorced"/>
    <n v="12185"/>
    <n v="10056"/>
    <n v="1"/>
    <s v="Y"/>
    <x v="0"/>
    <n v="14"/>
    <n v="3"/>
    <n v="3"/>
    <n v="80"/>
    <n v="3"/>
    <n v="10"/>
    <n v="1"/>
    <x v="1"/>
    <x v="1"/>
    <n v="8"/>
    <n v="0"/>
    <n v="7"/>
  </r>
  <r>
    <n v="38"/>
    <x v="1"/>
    <s v="Travel_Rarely"/>
    <n v="119"/>
    <x v="0"/>
    <n v="3"/>
    <n v="3"/>
    <s v="Life Sciences"/>
    <n v="1"/>
    <n v="307"/>
    <x v="3"/>
    <s v="Male"/>
    <n v="76"/>
    <n v="3"/>
    <n v="3"/>
    <x v="0"/>
    <x v="2"/>
    <s v="Divorced"/>
    <n v="10609"/>
    <n v="9647"/>
    <n v="0"/>
    <s v="Y"/>
    <x v="1"/>
    <n v="12"/>
    <n v="3"/>
    <n v="3"/>
    <n v="80"/>
    <n v="2"/>
    <n v="17"/>
    <n v="6"/>
    <x v="2"/>
    <x v="22"/>
    <n v="10"/>
    <n v="5"/>
    <n v="13"/>
  </r>
  <r>
    <n v="31"/>
    <x v="1"/>
    <s v="Non-Travel"/>
    <n v="979"/>
    <x v="1"/>
    <n v="1"/>
    <n v="4"/>
    <s v="Medical"/>
    <n v="1"/>
    <n v="308"/>
    <x v="1"/>
    <s v="Male"/>
    <n v="90"/>
    <n v="1"/>
    <n v="2"/>
    <x v="3"/>
    <x v="2"/>
    <s v="Married"/>
    <n v="4345"/>
    <n v="4381"/>
    <n v="0"/>
    <s v="Y"/>
    <x v="1"/>
    <n v="12"/>
    <n v="3"/>
    <n v="4"/>
    <n v="80"/>
    <n v="1"/>
    <n v="6"/>
    <n v="2"/>
    <x v="1"/>
    <x v="8"/>
    <n v="4"/>
    <n v="1"/>
    <n v="4"/>
  </r>
  <r>
    <n v="59"/>
    <x v="1"/>
    <s v="Travel_Rarely"/>
    <n v="142"/>
    <x v="1"/>
    <n v="3"/>
    <n v="3"/>
    <s v="Life Sciences"/>
    <n v="1"/>
    <n v="309"/>
    <x v="1"/>
    <s v="Male"/>
    <n v="70"/>
    <n v="2"/>
    <n v="1"/>
    <x v="1"/>
    <x v="0"/>
    <s v="Married"/>
    <n v="2177"/>
    <n v="8456"/>
    <n v="3"/>
    <s v="Y"/>
    <x v="1"/>
    <n v="17"/>
    <n v="3"/>
    <n v="1"/>
    <n v="80"/>
    <n v="1"/>
    <n v="7"/>
    <n v="6"/>
    <x v="1"/>
    <x v="6"/>
    <n v="0"/>
    <n v="0"/>
    <n v="0"/>
  </r>
  <r>
    <n v="37"/>
    <x v="1"/>
    <s v="Travel_Frequently"/>
    <n v="319"/>
    <x v="0"/>
    <n v="4"/>
    <n v="4"/>
    <s v="Marketing"/>
    <n v="1"/>
    <n v="311"/>
    <x v="3"/>
    <s v="Male"/>
    <n v="41"/>
    <n v="3"/>
    <n v="1"/>
    <x v="6"/>
    <x v="0"/>
    <s v="Divorced"/>
    <n v="2793"/>
    <n v="2539"/>
    <n v="4"/>
    <s v="Y"/>
    <x v="1"/>
    <n v="17"/>
    <n v="3"/>
    <n v="3"/>
    <n v="80"/>
    <n v="1"/>
    <n v="13"/>
    <n v="2"/>
    <x v="1"/>
    <x v="7"/>
    <n v="8"/>
    <n v="5"/>
    <n v="8"/>
  </r>
  <r>
    <n v="29"/>
    <x v="1"/>
    <s v="Travel_Frequently"/>
    <n v="1413"/>
    <x v="0"/>
    <n v="1"/>
    <n v="1"/>
    <s v="Medical"/>
    <n v="1"/>
    <n v="312"/>
    <x v="0"/>
    <s v="Female"/>
    <n v="42"/>
    <n v="3"/>
    <n v="3"/>
    <x v="0"/>
    <x v="0"/>
    <s v="Married"/>
    <n v="7918"/>
    <n v="6599"/>
    <n v="1"/>
    <s v="Y"/>
    <x v="1"/>
    <n v="14"/>
    <n v="3"/>
    <n v="4"/>
    <n v="80"/>
    <n v="1"/>
    <n v="11"/>
    <n v="5"/>
    <x v="1"/>
    <x v="19"/>
    <n v="10"/>
    <n v="4"/>
    <n v="1"/>
  </r>
  <r>
    <n v="35"/>
    <x v="1"/>
    <s v="Travel_Frequently"/>
    <n v="944"/>
    <x v="0"/>
    <n v="1"/>
    <n v="3"/>
    <s v="Marketing"/>
    <n v="1"/>
    <n v="314"/>
    <x v="1"/>
    <s v="Female"/>
    <n v="92"/>
    <n v="3"/>
    <n v="3"/>
    <x v="0"/>
    <x v="2"/>
    <s v="Single"/>
    <n v="8789"/>
    <n v="9096"/>
    <n v="1"/>
    <s v="Y"/>
    <x v="1"/>
    <n v="14"/>
    <n v="3"/>
    <n v="1"/>
    <n v="80"/>
    <n v="0"/>
    <n v="10"/>
    <n v="3"/>
    <x v="3"/>
    <x v="1"/>
    <n v="7"/>
    <n v="0"/>
    <n v="8"/>
  </r>
  <r>
    <n v="29"/>
    <x v="0"/>
    <s v="Travel_Rarely"/>
    <n v="896"/>
    <x v="1"/>
    <n v="18"/>
    <n v="1"/>
    <s v="Medical"/>
    <n v="1"/>
    <n v="315"/>
    <x v="1"/>
    <s v="Male"/>
    <n v="86"/>
    <n v="2"/>
    <n v="1"/>
    <x v="1"/>
    <x v="0"/>
    <s v="Single"/>
    <n v="2389"/>
    <n v="14961"/>
    <n v="1"/>
    <s v="Y"/>
    <x v="0"/>
    <n v="13"/>
    <n v="3"/>
    <n v="3"/>
    <n v="80"/>
    <n v="0"/>
    <n v="4"/>
    <n v="3"/>
    <x v="2"/>
    <x v="9"/>
    <n v="3"/>
    <n v="0"/>
    <n v="1"/>
  </r>
  <r>
    <n v="52"/>
    <x v="1"/>
    <s v="Travel_Rarely"/>
    <n v="1323"/>
    <x v="1"/>
    <n v="2"/>
    <n v="3"/>
    <s v="Life Sciences"/>
    <n v="1"/>
    <n v="316"/>
    <x v="1"/>
    <s v="Female"/>
    <n v="89"/>
    <n v="2"/>
    <n v="1"/>
    <x v="2"/>
    <x v="0"/>
    <s v="Single"/>
    <n v="3212"/>
    <n v="3300"/>
    <n v="7"/>
    <s v="Y"/>
    <x v="1"/>
    <n v="15"/>
    <n v="3"/>
    <n v="2"/>
    <n v="80"/>
    <n v="0"/>
    <n v="6"/>
    <n v="3"/>
    <x v="2"/>
    <x v="4"/>
    <n v="2"/>
    <n v="2"/>
    <n v="2"/>
  </r>
  <r>
    <n v="42"/>
    <x v="1"/>
    <s v="Travel_Rarely"/>
    <n v="532"/>
    <x v="1"/>
    <n v="4"/>
    <n v="2"/>
    <s v="Technical Degree"/>
    <n v="1"/>
    <n v="319"/>
    <x v="1"/>
    <s v="Male"/>
    <n v="58"/>
    <n v="3"/>
    <n v="5"/>
    <x v="5"/>
    <x v="0"/>
    <s v="Married"/>
    <n v="19232"/>
    <n v="4933"/>
    <n v="1"/>
    <s v="Y"/>
    <x v="1"/>
    <n v="11"/>
    <n v="3"/>
    <n v="4"/>
    <n v="80"/>
    <n v="0"/>
    <n v="22"/>
    <n v="3"/>
    <x v="1"/>
    <x v="14"/>
    <n v="17"/>
    <n v="11"/>
    <n v="15"/>
  </r>
  <r>
    <n v="59"/>
    <x v="1"/>
    <s v="Travel_Rarely"/>
    <n v="818"/>
    <x v="2"/>
    <n v="6"/>
    <n v="2"/>
    <s v="Medical"/>
    <n v="1"/>
    <n v="321"/>
    <x v="0"/>
    <s v="Male"/>
    <n v="52"/>
    <n v="3"/>
    <n v="1"/>
    <x v="8"/>
    <x v="2"/>
    <s v="Married"/>
    <n v="2267"/>
    <n v="25657"/>
    <n v="8"/>
    <s v="Y"/>
    <x v="1"/>
    <n v="17"/>
    <n v="3"/>
    <n v="4"/>
    <n v="80"/>
    <n v="0"/>
    <n v="7"/>
    <n v="2"/>
    <x v="2"/>
    <x v="4"/>
    <n v="2"/>
    <n v="2"/>
    <n v="2"/>
  </r>
  <r>
    <n v="50"/>
    <x v="1"/>
    <s v="Travel_Rarely"/>
    <n v="854"/>
    <x v="0"/>
    <n v="1"/>
    <n v="4"/>
    <s v="Medical"/>
    <n v="1"/>
    <n v="323"/>
    <x v="2"/>
    <s v="Female"/>
    <n v="68"/>
    <n v="3"/>
    <n v="5"/>
    <x v="5"/>
    <x v="0"/>
    <s v="Divorced"/>
    <n v="19517"/>
    <n v="24118"/>
    <n v="3"/>
    <s v="Y"/>
    <x v="1"/>
    <n v="11"/>
    <n v="3"/>
    <n v="3"/>
    <n v="80"/>
    <n v="1"/>
    <n v="32"/>
    <n v="3"/>
    <x v="2"/>
    <x v="5"/>
    <n v="0"/>
    <n v="0"/>
    <n v="6"/>
  </r>
  <r>
    <n v="33"/>
    <x v="0"/>
    <s v="Travel_Rarely"/>
    <n v="813"/>
    <x v="1"/>
    <n v="14"/>
    <n v="3"/>
    <s v="Medical"/>
    <n v="1"/>
    <n v="325"/>
    <x v="1"/>
    <s v="Male"/>
    <n v="58"/>
    <n v="3"/>
    <n v="1"/>
    <x v="2"/>
    <x v="0"/>
    <s v="Married"/>
    <n v="2436"/>
    <n v="22149"/>
    <n v="5"/>
    <s v="Y"/>
    <x v="0"/>
    <n v="13"/>
    <n v="3"/>
    <n v="3"/>
    <n v="80"/>
    <n v="1"/>
    <n v="8"/>
    <n v="2"/>
    <x v="0"/>
    <x v="8"/>
    <n v="4"/>
    <n v="0"/>
    <n v="4"/>
  </r>
  <r>
    <n v="43"/>
    <x v="1"/>
    <s v="Travel_Rarely"/>
    <n v="1034"/>
    <x v="0"/>
    <n v="16"/>
    <n v="3"/>
    <s v="Marketing"/>
    <n v="1"/>
    <n v="327"/>
    <x v="2"/>
    <s v="Female"/>
    <n v="80"/>
    <n v="3"/>
    <n v="4"/>
    <x v="5"/>
    <x v="0"/>
    <s v="Married"/>
    <n v="16064"/>
    <n v="7744"/>
    <n v="5"/>
    <s v="Y"/>
    <x v="0"/>
    <n v="22"/>
    <n v="4"/>
    <n v="3"/>
    <n v="80"/>
    <n v="1"/>
    <n v="22"/>
    <n v="3"/>
    <x v="1"/>
    <x v="18"/>
    <n v="13"/>
    <n v="1"/>
    <n v="9"/>
  </r>
  <r>
    <n v="33"/>
    <x v="0"/>
    <s v="Travel_Rarely"/>
    <n v="465"/>
    <x v="1"/>
    <n v="2"/>
    <n v="2"/>
    <s v="Life Sciences"/>
    <n v="1"/>
    <n v="328"/>
    <x v="3"/>
    <s v="Female"/>
    <n v="39"/>
    <n v="3"/>
    <n v="1"/>
    <x v="2"/>
    <x v="3"/>
    <s v="Married"/>
    <n v="2707"/>
    <n v="21509"/>
    <n v="7"/>
    <s v="Y"/>
    <x v="1"/>
    <n v="20"/>
    <n v="4"/>
    <n v="1"/>
    <n v="80"/>
    <n v="0"/>
    <n v="13"/>
    <n v="3"/>
    <x v="3"/>
    <x v="7"/>
    <n v="7"/>
    <n v="1"/>
    <n v="7"/>
  </r>
  <r>
    <n v="52"/>
    <x v="1"/>
    <s v="Non-Travel"/>
    <n v="771"/>
    <x v="0"/>
    <n v="2"/>
    <n v="4"/>
    <s v="Life Sciences"/>
    <n v="1"/>
    <n v="329"/>
    <x v="3"/>
    <s v="Male"/>
    <n v="79"/>
    <n v="2"/>
    <n v="5"/>
    <x v="5"/>
    <x v="2"/>
    <s v="Single"/>
    <n v="19068"/>
    <n v="21030"/>
    <n v="1"/>
    <s v="Y"/>
    <x v="0"/>
    <n v="18"/>
    <n v="3"/>
    <n v="4"/>
    <n v="80"/>
    <n v="0"/>
    <n v="33"/>
    <n v="2"/>
    <x v="3"/>
    <x v="26"/>
    <n v="7"/>
    <n v="15"/>
    <n v="12"/>
  </r>
  <r>
    <n v="32"/>
    <x v="1"/>
    <s v="Travel_Rarely"/>
    <n v="1401"/>
    <x v="0"/>
    <n v="4"/>
    <n v="2"/>
    <s v="Life Sciences"/>
    <n v="1"/>
    <n v="330"/>
    <x v="1"/>
    <s v="Female"/>
    <n v="56"/>
    <n v="3"/>
    <n v="1"/>
    <x v="6"/>
    <x v="1"/>
    <s v="Married"/>
    <n v="3931"/>
    <n v="20990"/>
    <n v="2"/>
    <s v="Y"/>
    <x v="1"/>
    <n v="11"/>
    <n v="3"/>
    <n v="1"/>
    <n v="80"/>
    <n v="1"/>
    <n v="6"/>
    <n v="5"/>
    <x v="1"/>
    <x v="9"/>
    <n v="3"/>
    <n v="1"/>
    <n v="2"/>
  </r>
  <r>
    <n v="32"/>
    <x v="0"/>
    <s v="Travel_Rarely"/>
    <n v="515"/>
    <x v="1"/>
    <n v="1"/>
    <n v="3"/>
    <s v="Life Sciences"/>
    <n v="1"/>
    <n v="331"/>
    <x v="2"/>
    <s v="Male"/>
    <n v="62"/>
    <n v="2"/>
    <n v="1"/>
    <x v="2"/>
    <x v="2"/>
    <s v="Single"/>
    <n v="3730"/>
    <n v="9571"/>
    <n v="0"/>
    <s v="Y"/>
    <x v="0"/>
    <n v="14"/>
    <n v="3"/>
    <n v="4"/>
    <n v="80"/>
    <n v="0"/>
    <n v="4"/>
    <n v="2"/>
    <x v="0"/>
    <x v="11"/>
    <n v="2"/>
    <n v="1"/>
    <n v="2"/>
  </r>
  <r>
    <n v="39"/>
    <x v="1"/>
    <s v="Travel_Rarely"/>
    <n v="1431"/>
    <x v="1"/>
    <n v="1"/>
    <n v="4"/>
    <s v="Medical"/>
    <n v="1"/>
    <n v="332"/>
    <x v="1"/>
    <s v="Female"/>
    <n v="96"/>
    <n v="3"/>
    <n v="1"/>
    <x v="2"/>
    <x v="2"/>
    <s v="Divorced"/>
    <n v="2232"/>
    <n v="15417"/>
    <n v="7"/>
    <s v="Y"/>
    <x v="1"/>
    <n v="14"/>
    <n v="3"/>
    <n v="3"/>
    <n v="80"/>
    <n v="3"/>
    <n v="7"/>
    <n v="1"/>
    <x v="1"/>
    <x v="11"/>
    <n v="2"/>
    <n v="1"/>
    <n v="2"/>
  </r>
  <r>
    <n v="32"/>
    <x v="1"/>
    <s v="Non-Travel"/>
    <n v="976"/>
    <x v="0"/>
    <n v="26"/>
    <n v="4"/>
    <s v="Marketing"/>
    <n v="1"/>
    <n v="333"/>
    <x v="1"/>
    <s v="Male"/>
    <n v="100"/>
    <n v="3"/>
    <n v="2"/>
    <x v="0"/>
    <x v="0"/>
    <s v="Married"/>
    <n v="4465"/>
    <n v="12069"/>
    <n v="0"/>
    <s v="Y"/>
    <x v="1"/>
    <n v="18"/>
    <n v="3"/>
    <n v="1"/>
    <n v="80"/>
    <n v="0"/>
    <n v="4"/>
    <n v="2"/>
    <x v="1"/>
    <x v="11"/>
    <n v="2"/>
    <n v="2"/>
    <n v="2"/>
  </r>
  <r>
    <n v="41"/>
    <x v="1"/>
    <s v="Travel_Rarely"/>
    <n v="1411"/>
    <x v="1"/>
    <n v="19"/>
    <n v="2"/>
    <s v="Life Sciences"/>
    <n v="1"/>
    <n v="334"/>
    <x v="1"/>
    <s v="Male"/>
    <n v="36"/>
    <n v="3"/>
    <n v="2"/>
    <x v="1"/>
    <x v="3"/>
    <s v="Divorced"/>
    <n v="3072"/>
    <n v="19877"/>
    <n v="2"/>
    <s v="Y"/>
    <x v="1"/>
    <n v="16"/>
    <n v="3"/>
    <n v="1"/>
    <n v="80"/>
    <n v="2"/>
    <n v="17"/>
    <n v="2"/>
    <x v="2"/>
    <x v="6"/>
    <n v="0"/>
    <n v="0"/>
    <n v="0"/>
  </r>
  <r>
    <n v="40"/>
    <x v="1"/>
    <s v="Travel_Rarely"/>
    <n v="1300"/>
    <x v="1"/>
    <n v="24"/>
    <n v="2"/>
    <s v="Technical Degree"/>
    <n v="1"/>
    <n v="335"/>
    <x v="3"/>
    <s v="Male"/>
    <n v="62"/>
    <n v="3"/>
    <n v="2"/>
    <x v="1"/>
    <x v="0"/>
    <s v="Divorced"/>
    <n v="3319"/>
    <n v="24447"/>
    <n v="1"/>
    <s v="Y"/>
    <x v="1"/>
    <n v="17"/>
    <n v="3"/>
    <n v="1"/>
    <n v="80"/>
    <n v="2"/>
    <n v="9"/>
    <n v="3"/>
    <x v="1"/>
    <x v="7"/>
    <n v="8"/>
    <n v="4"/>
    <n v="7"/>
  </r>
  <r>
    <n v="45"/>
    <x v="1"/>
    <s v="Travel_Rarely"/>
    <n v="252"/>
    <x v="1"/>
    <n v="1"/>
    <n v="3"/>
    <s v="Other"/>
    <n v="1"/>
    <n v="336"/>
    <x v="1"/>
    <s v="Male"/>
    <n v="70"/>
    <n v="4"/>
    <n v="5"/>
    <x v="5"/>
    <x v="0"/>
    <s v="Married"/>
    <n v="19202"/>
    <n v="15970"/>
    <n v="0"/>
    <s v="Y"/>
    <x v="1"/>
    <n v="11"/>
    <n v="3"/>
    <n v="3"/>
    <n v="80"/>
    <n v="1"/>
    <n v="25"/>
    <n v="2"/>
    <x v="1"/>
    <x v="25"/>
    <n v="0"/>
    <n v="1"/>
    <n v="7"/>
  </r>
  <r>
    <n v="31"/>
    <x v="1"/>
    <s v="Travel_Frequently"/>
    <n v="1327"/>
    <x v="1"/>
    <n v="3"/>
    <n v="4"/>
    <s v="Medical"/>
    <n v="1"/>
    <n v="337"/>
    <x v="0"/>
    <s v="Male"/>
    <n v="73"/>
    <n v="3"/>
    <n v="3"/>
    <x v="7"/>
    <x v="2"/>
    <s v="Divorced"/>
    <n v="13675"/>
    <n v="13523"/>
    <n v="9"/>
    <s v="Y"/>
    <x v="1"/>
    <n v="12"/>
    <n v="3"/>
    <n v="1"/>
    <n v="80"/>
    <n v="1"/>
    <n v="9"/>
    <n v="3"/>
    <x v="1"/>
    <x v="4"/>
    <n v="2"/>
    <n v="2"/>
    <n v="2"/>
  </r>
  <r>
    <n v="33"/>
    <x v="1"/>
    <s v="Travel_Rarely"/>
    <n v="832"/>
    <x v="1"/>
    <n v="5"/>
    <n v="4"/>
    <s v="Life Sciences"/>
    <n v="1"/>
    <n v="338"/>
    <x v="1"/>
    <s v="Female"/>
    <n v="63"/>
    <n v="2"/>
    <n v="1"/>
    <x v="1"/>
    <x v="0"/>
    <s v="Married"/>
    <n v="2911"/>
    <n v="14776"/>
    <n v="1"/>
    <s v="Y"/>
    <x v="1"/>
    <n v="13"/>
    <n v="3"/>
    <n v="3"/>
    <n v="80"/>
    <n v="1"/>
    <n v="2"/>
    <n v="2"/>
    <x v="2"/>
    <x v="4"/>
    <n v="2"/>
    <n v="0"/>
    <n v="2"/>
  </r>
  <r>
    <n v="34"/>
    <x v="1"/>
    <s v="Travel_Rarely"/>
    <n v="470"/>
    <x v="1"/>
    <n v="2"/>
    <n v="4"/>
    <s v="Life Sciences"/>
    <n v="1"/>
    <n v="339"/>
    <x v="2"/>
    <s v="Male"/>
    <n v="84"/>
    <n v="2"/>
    <n v="2"/>
    <x v="3"/>
    <x v="3"/>
    <s v="Married"/>
    <n v="5957"/>
    <n v="23687"/>
    <n v="6"/>
    <s v="Y"/>
    <x v="1"/>
    <n v="13"/>
    <n v="3"/>
    <n v="2"/>
    <n v="80"/>
    <n v="1"/>
    <n v="13"/>
    <n v="3"/>
    <x v="1"/>
    <x v="19"/>
    <n v="9"/>
    <n v="5"/>
    <n v="9"/>
  </r>
  <r>
    <n v="37"/>
    <x v="1"/>
    <s v="Travel_Rarely"/>
    <n v="1017"/>
    <x v="1"/>
    <n v="1"/>
    <n v="2"/>
    <s v="Medical"/>
    <n v="1"/>
    <n v="340"/>
    <x v="1"/>
    <s v="Female"/>
    <n v="83"/>
    <n v="2"/>
    <n v="1"/>
    <x v="1"/>
    <x v="3"/>
    <s v="Married"/>
    <n v="3920"/>
    <n v="18697"/>
    <n v="2"/>
    <s v="Y"/>
    <x v="1"/>
    <n v="14"/>
    <n v="3"/>
    <n v="1"/>
    <n v="80"/>
    <n v="1"/>
    <n v="17"/>
    <n v="2"/>
    <x v="2"/>
    <x v="11"/>
    <n v="1"/>
    <n v="0"/>
    <n v="2"/>
  </r>
  <r>
    <n v="45"/>
    <x v="1"/>
    <s v="Travel_Frequently"/>
    <n v="1199"/>
    <x v="1"/>
    <n v="7"/>
    <n v="4"/>
    <s v="Life Sciences"/>
    <n v="1"/>
    <n v="341"/>
    <x v="3"/>
    <s v="Male"/>
    <n v="77"/>
    <n v="4"/>
    <n v="2"/>
    <x v="3"/>
    <x v="2"/>
    <s v="Married"/>
    <n v="6434"/>
    <n v="5118"/>
    <n v="4"/>
    <s v="Y"/>
    <x v="1"/>
    <n v="17"/>
    <n v="3"/>
    <n v="4"/>
    <n v="80"/>
    <n v="1"/>
    <n v="9"/>
    <n v="1"/>
    <x v="1"/>
    <x v="11"/>
    <n v="2"/>
    <n v="0"/>
    <n v="2"/>
  </r>
  <r>
    <n v="37"/>
    <x v="0"/>
    <s v="Travel_Frequently"/>
    <n v="504"/>
    <x v="1"/>
    <n v="10"/>
    <n v="3"/>
    <s v="Medical"/>
    <n v="1"/>
    <n v="342"/>
    <x v="3"/>
    <s v="Male"/>
    <n v="61"/>
    <n v="3"/>
    <n v="3"/>
    <x v="3"/>
    <x v="2"/>
    <s v="Divorced"/>
    <n v="10048"/>
    <n v="22573"/>
    <n v="6"/>
    <s v="Y"/>
    <x v="1"/>
    <n v="11"/>
    <n v="3"/>
    <n v="2"/>
    <n v="80"/>
    <n v="2"/>
    <n v="17"/>
    <n v="5"/>
    <x v="1"/>
    <x v="6"/>
    <n v="0"/>
    <n v="0"/>
    <n v="0"/>
  </r>
  <r>
    <n v="39"/>
    <x v="1"/>
    <s v="Travel_Frequently"/>
    <n v="505"/>
    <x v="1"/>
    <n v="2"/>
    <n v="4"/>
    <s v="Technical Degree"/>
    <n v="1"/>
    <n v="343"/>
    <x v="1"/>
    <s v="Female"/>
    <n v="64"/>
    <n v="3"/>
    <n v="3"/>
    <x v="4"/>
    <x v="2"/>
    <s v="Single"/>
    <n v="10938"/>
    <n v="6420"/>
    <n v="0"/>
    <s v="Y"/>
    <x v="1"/>
    <n v="25"/>
    <n v="4"/>
    <n v="4"/>
    <n v="80"/>
    <n v="0"/>
    <n v="20"/>
    <n v="1"/>
    <x v="1"/>
    <x v="27"/>
    <n v="6"/>
    <n v="11"/>
    <n v="8"/>
  </r>
  <r>
    <n v="29"/>
    <x v="1"/>
    <s v="Travel_Rarely"/>
    <n v="665"/>
    <x v="1"/>
    <n v="15"/>
    <n v="3"/>
    <s v="Life Sciences"/>
    <n v="1"/>
    <n v="346"/>
    <x v="1"/>
    <s v="Male"/>
    <n v="60"/>
    <n v="3"/>
    <n v="1"/>
    <x v="1"/>
    <x v="0"/>
    <s v="Single"/>
    <n v="2340"/>
    <n v="22673"/>
    <n v="1"/>
    <s v="Y"/>
    <x v="1"/>
    <n v="19"/>
    <n v="3"/>
    <n v="1"/>
    <n v="80"/>
    <n v="0"/>
    <n v="6"/>
    <n v="1"/>
    <x v="1"/>
    <x v="0"/>
    <n v="5"/>
    <n v="1"/>
    <n v="5"/>
  </r>
  <r>
    <n v="42"/>
    <x v="1"/>
    <s v="Travel_Rarely"/>
    <n v="916"/>
    <x v="1"/>
    <n v="17"/>
    <n v="2"/>
    <s v="Life Sciences"/>
    <n v="1"/>
    <n v="347"/>
    <x v="2"/>
    <s v="Female"/>
    <n v="82"/>
    <n v="4"/>
    <n v="2"/>
    <x v="1"/>
    <x v="3"/>
    <s v="Single"/>
    <n v="6545"/>
    <n v="23016"/>
    <n v="3"/>
    <s v="Y"/>
    <x v="0"/>
    <n v="13"/>
    <n v="3"/>
    <n v="3"/>
    <n v="80"/>
    <n v="0"/>
    <n v="10"/>
    <n v="1"/>
    <x v="1"/>
    <x v="11"/>
    <n v="2"/>
    <n v="0"/>
    <n v="2"/>
  </r>
  <r>
    <n v="29"/>
    <x v="1"/>
    <s v="Travel_Rarely"/>
    <n v="1247"/>
    <x v="0"/>
    <n v="20"/>
    <n v="2"/>
    <s v="Marketing"/>
    <n v="1"/>
    <n v="349"/>
    <x v="2"/>
    <s v="Male"/>
    <n v="45"/>
    <n v="3"/>
    <n v="2"/>
    <x v="0"/>
    <x v="0"/>
    <s v="Divorced"/>
    <n v="6931"/>
    <n v="10732"/>
    <n v="2"/>
    <s v="Y"/>
    <x v="1"/>
    <n v="14"/>
    <n v="3"/>
    <n v="4"/>
    <n v="80"/>
    <n v="1"/>
    <n v="10"/>
    <n v="2"/>
    <x v="1"/>
    <x v="11"/>
    <n v="2"/>
    <n v="0"/>
    <n v="2"/>
  </r>
  <r>
    <n v="25"/>
    <x v="1"/>
    <s v="Travel_Rarely"/>
    <n v="685"/>
    <x v="1"/>
    <n v="1"/>
    <n v="3"/>
    <s v="Life Sciences"/>
    <n v="1"/>
    <n v="350"/>
    <x v="3"/>
    <s v="Female"/>
    <n v="62"/>
    <n v="3"/>
    <n v="2"/>
    <x v="3"/>
    <x v="2"/>
    <s v="Married"/>
    <n v="4898"/>
    <n v="7505"/>
    <n v="0"/>
    <s v="Y"/>
    <x v="1"/>
    <n v="12"/>
    <n v="3"/>
    <n v="4"/>
    <n v="80"/>
    <n v="2"/>
    <n v="5"/>
    <n v="3"/>
    <x v="1"/>
    <x v="9"/>
    <n v="2"/>
    <n v="1"/>
    <n v="2"/>
  </r>
  <r>
    <n v="42"/>
    <x v="1"/>
    <s v="Travel_Rarely"/>
    <n v="269"/>
    <x v="1"/>
    <n v="2"/>
    <n v="3"/>
    <s v="Medical"/>
    <n v="1"/>
    <n v="351"/>
    <x v="2"/>
    <s v="Female"/>
    <n v="56"/>
    <n v="2"/>
    <n v="1"/>
    <x v="2"/>
    <x v="3"/>
    <s v="Divorced"/>
    <n v="2593"/>
    <n v="8007"/>
    <n v="0"/>
    <s v="Y"/>
    <x v="0"/>
    <n v="11"/>
    <n v="3"/>
    <n v="3"/>
    <n v="80"/>
    <n v="1"/>
    <n v="10"/>
    <n v="4"/>
    <x v="1"/>
    <x v="7"/>
    <n v="6"/>
    <n v="7"/>
    <n v="8"/>
  </r>
  <r>
    <n v="40"/>
    <x v="1"/>
    <s v="Travel_Rarely"/>
    <n v="1416"/>
    <x v="1"/>
    <n v="2"/>
    <n v="2"/>
    <s v="Medical"/>
    <n v="1"/>
    <n v="352"/>
    <x v="3"/>
    <s v="Male"/>
    <n v="49"/>
    <n v="3"/>
    <n v="5"/>
    <x v="7"/>
    <x v="2"/>
    <s v="Divorced"/>
    <n v="19436"/>
    <n v="5949"/>
    <n v="0"/>
    <s v="Y"/>
    <x v="1"/>
    <n v="19"/>
    <n v="3"/>
    <n v="4"/>
    <n v="80"/>
    <n v="1"/>
    <n v="22"/>
    <n v="5"/>
    <x v="1"/>
    <x v="17"/>
    <n v="7"/>
    <n v="3"/>
    <n v="9"/>
  </r>
  <r>
    <n v="51"/>
    <x v="1"/>
    <s v="Travel_Rarely"/>
    <n v="833"/>
    <x v="1"/>
    <n v="1"/>
    <n v="3"/>
    <s v="Life Sciences"/>
    <n v="1"/>
    <n v="353"/>
    <x v="1"/>
    <s v="Male"/>
    <n v="96"/>
    <n v="3"/>
    <n v="1"/>
    <x v="1"/>
    <x v="0"/>
    <s v="Married"/>
    <n v="2723"/>
    <n v="23231"/>
    <n v="1"/>
    <s v="Y"/>
    <x v="1"/>
    <n v="11"/>
    <n v="3"/>
    <n v="2"/>
    <n v="80"/>
    <n v="0"/>
    <n v="1"/>
    <n v="0"/>
    <x v="2"/>
    <x v="6"/>
    <n v="0"/>
    <n v="0"/>
    <n v="0"/>
  </r>
  <r>
    <n v="31"/>
    <x v="0"/>
    <s v="Travel_Frequently"/>
    <n v="307"/>
    <x v="1"/>
    <n v="29"/>
    <n v="2"/>
    <s v="Medical"/>
    <n v="1"/>
    <n v="355"/>
    <x v="1"/>
    <s v="Male"/>
    <n v="71"/>
    <n v="2"/>
    <n v="1"/>
    <x v="2"/>
    <x v="1"/>
    <s v="Single"/>
    <n v="3479"/>
    <n v="11652"/>
    <n v="0"/>
    <s v="Y"/>
    <x v="1"/>
    <n v="11"/>
    <n v="3"/>
    <n v="2"/>
    <n v="80"/>
    <n v="0"/>
    <n v="6"/>
    <n v="2"/>
    <x v="3"/>
    <x v="8"/>
    <n v="4"/>
    <n v="1"/>
    <n v="4"/>
  </r>
  <r>
    <n v="32"/>
    <x v="1"/>
    <s v="Travel_Frequently"/>
    <n v="1311"/>
    <x v="1"/>
    <n v="7"/>
    <n v="3"/>
    <s v="Life Sciences"/>
    <n v="1"/>
    <n v="359"/>
    <x v="0"/>
    <s v="Male"/>
    <n v="100"/>
    <n v="4"/>
    <n v="1"/>
    <x v="2"/>
    <x v="1"/>
    <s v="Married"/>
    <n v="2794"/>
    <n v="26062"/>
    <n v="1"/>
    <s v="Y"/>
    <x v="1"/>
    <n v="20"/>
    <n v="4"/>
    <n v="3"/>
    <n v="80"/>
    <n v="0"/>
    <n v="5"/>
    <n v="3"/>
    <x v="0"/>
    <x v="8"/>
    <n v="1"/>
    <n v="0"/>
    <n v="3"/>
  </r>
  <r>
    <n v="38"/>
    <x v="1"/>
    <s v="Non-Travel"/>
    <n v="1327"/>
    <x v="0"/>
    <n v="2"/>
    <n v="2"/>
    <s v="Life Sciences"/>
    <n v="1"/>
    <n v="361"/>
    <x v="2"/>
    <s v="Male"/>
    <n v="39"/>
    <n v="2"/>
    <n v="2"/>
    <x v="0"/>
    <x v="0"/>
    <s v="Married"/>
    <n v="5249"/>
    <n v="19682"/>
    <n v="3"/>
    <s v="Y"/>
    <x v="1"/>
    <n v="18"/>
    <n v="3"/>
    <n v="4"/>
    <n v="80"/>
    <n v="1"/>
    <n v="13"/>
    <n v="0"/>
    <x v="1"/>
    <x v="3"/>
    <n v="7"/>
    <n v="7"/>
    <n v="5"/>
  </r>
  <r>
    <n v="32"/>
    <x v="1"/>
    <s v="Travel_Rarely"/>
    <n v="128"/>
    <x v="1"/>
    <n v="2"/>
    <n v="1"/>
    <s v="Technical Degree"/>
    <n v="1"/>
    <n v="362"/>
    <x v="2"/>
    <s v="Male"/>
    <n v="84"/>
    <n v="2"/>
    <n v="2"/>
    <x v="2"/>
    <x v="3"/>
    <s v="Single"/>
    <n v="2176"/>
    <n v="19737"/>
    <n v="4"/>
    <s v="Y"/>
    <x v="1"/>
    <n v="13"/>
    <n v="3"/>
    <n v="4"/>
    <n v="80"/>
    <n v="0"/>
    <n v="9"/>
    <n v="5"/>
    <x v="1"/>
    <x v="0"/>
    <n v="2"/>
    <n v="0"/>
    <n v="4"/>
  </r>
  <r>
    <n v="46"/>
    <x v="1"/>
    <s v="Travel_Rarely"/>
    <n v="488"/>
    <x v="0"/>
    <n v="2"/>
    <n v="3"/>
    <s v="Technical Degree"/>
    <n v="1"/>
    <n v="363"/>
    <x v="1"/>
    <s v="Female"/>
    <n v="75"/>
    <n v="1"/>
    <n v="4"/>
    <x v="5"/>
    <x v="1"/>
    <s v="Married"/>
    <n v="16872"/>
    <n v="14977"/>
    <n v="3"/>
    <s v="Y"/>
    <x v="0"/>
    <n v="12"/>
    <n v="3"/>
    <n v="2"/>
    <n v="80"/>
    <n v="1"/>
    <n v="28"/>
    <n v="2"/>
    <x v="2"/>
    <x v="5"/>
    <n v="7"/>
    <n v="7"/>
    <n v="7"/>
  </r>
  <r>
    <n v="28"/>
    <x v="0"/>
    <s v="Travel_Rarely"/>
    <n v="529"/>
    <x v="1"/>
    <n v="2"/>
    <n v="4"/>
    <s v="Life Sciences"/>
    <n v="1"/>
    <n v="364"/>
    <x v="3"/>
    <s v="Male"/>
    <n v="79"/>
    <n v="3"/>
    <n v="1"/>
    <x v="2"/>
    <x v="2"/>
    <s v="Single"/>
    <n v="3485"/>
    <n v="14935"/>
    <n v="2"/>
    <s v="Y"/>
    <x v="1"/>
    <n v="11"/>
    <n v="3"/>
    <n v="3"/>
    <n v="80"/>
    <n v="0"/>
    <n v="5"/>
    <n v="5"/>
    <x v="0"/>
    <x v="2"/>
    <n v="0"/>
    <n v="0"/>
    <n v="0"/>
  </r>
  <r>
    <n v="29"/>
    <x v="1"/>
    <s v="Travel_Rarely"/>
    <n v="1210"/>
    <x v="0"/>
    <n v="2"/>
    <n v="3"/>
    <s v="Medical"/>
    <n v="1"/>
    <n v="366"/>
    <x v="3"/>
    <s v="Male"/>
    <n v="78"/>
    <n v="2"/>
    <n v="2"/>
    <x v="0"/>
    <x v="1"/>
    <s v="Married"/>
    <n v="6644"/>
    <n v="3687"/>
    <n v="2"/>
    <s v="Y"/>
    <x v="1"/>
    <n v="19"/>
    <n v="3"/>
    <n v="2"/>
    <n v="80"/>
    <n v="2"/>
    <n v="10"/>
    <n v="2"/>
    <x v="1"/>
    <x v="2"/>
    <n v="0"/>
    <n v="0"/>
    <n v="0"/>
  </r>
  <r>
    <n v="31"/>
    <x v="1"/>
    <s v="Travel_Rarely"/>
    <n v="1463"/>
    <x v="1"/>
    <n v="23"/>
    <n v="3"/>
    <s v="Medical"/>
    <n v="1"/>
    <n v="367"/>
    <x v="0"/>
    <s v="Male"/>
    <n v="64"/>
    <n v="2"/>
    <n v="2"/>
    <x v="4"/>
    <x v="0"/>
    <s v="Married"/>
    <n v="5582"/>
    <n v="14408"/>
    <n v="0"/>
    <s v="Y"/>
    <x v="1"/>
    <n v="21"/>
    <n v="4"/>
    <n v="2"/>
    <n v="80"/>
    <n v="1"/>
    <n v="10"/>
    <n v="2"/>
    <x v="1"/>
    <x v="7"/>
    <n v="0"/>
    <n v="7"/>
    <n v="8"/>
  </r>
  <r>
    <n v="25"/>
    <x v="1"/>
    <s v="Non-Travel"/>
    <n v="675"/>
    <x v="1"/>
    <n v="5"/>
    <n v="2"/>
    <s v="Life Sciences"/>
    <n v="1"/>
    <n v="369"/>
    <x v="0"/>
    <s v="Male"/>
    <n v="85"/>
    <n v="4"/>
    <n v="2"/>
    <x v="4"/>
    <x v="3"/>
    <s v="Divorced"/>
    <n v="4000"/>
    <n v="18384"/>
    <n v="1"/>
    <s v="Y"/>
    <x v="1"/>
    <n v="12"/>
    <n v="3"/>
    <n v="4"/>
    <n v="80"/>
    <n v="2"/>
    <n v="6"/>
    <n v="2"/>
    <x v="1"/>
    <x v="0"/>
    <n v="3"/>
    <n v="1"/>
    <n v="5"/>
  </r>
  <r>
    <n v="45"/>
    <x v="1"/>
    <s v="Travel_Rarely"/>
    <n v="1385"/>
    <x v="1"/>
    <n v="20"/>
    <n v="2"/>
    <s v="Medical"/>
    <n v="1"/>
    <n v="372"/>
    <x v="1"/>
    <s v="Male"/>
    <n v="79"/>
    <n v="3"/>
    <n v="4"/>
    <x v="4"/>
    <x v="0"/>
    <s v="Married"/>
    <n v="13496"/>
    <n v="7501"/>
    <n v="0"/>
    <s v="Y"/>
    <x v="0"/>
    <n v="14"/>
    <n v="3"/>
    <n v="2"/>
    <n v="80"/>
    <n v="0"/>
    <n v="21"/>
    <n v="2"/>
    <x v="1"/>
    <x v="23"/>
    <n v="7"/>
    <n v="4"/>
    <n v="10"/>
  </r>
  <r>
    <n v="36"/>
    <x v="1"/>
    <s v="Travel_Rarely"/>
    <n v="1403"/>
    <x v="1"/>
    <n v="6"/>
    <n v="3"/>
    <s v="Life Sciences"/>
    <n v="1"/>
    <n v="373"/>
    <x v="2"/>
    <s v="Male"/>
    <n v="47"/>
    <n v="3"/>
    <n v="1"/>
    <x v="2"/>
    <x v="0"/>
    <s v="Married"/>
    <n v="3210"/>
    <n v="20251"/>
    <n v="0"/>
    <s v="Y"/>
    <x v="1"/>
    <n v="11"/>
    <n v="3"/>
    <n v="3"/>
    <n v="80"/>
    <n v="1"/>
    <n v="16"/>
    <n v="4"/>
    <x v="1"/>
    <x v="15"/>
    <n v="13"/>
    <n v="10"/>
    <n v="11"/>
  </r>
  <r>
    <n v="55"/>
    <x v="1"/>
    <s v="Travel_Rarely"/>
    <n v="452"/>
    <x v="1"/>
    <n v="1"/>
    <n v="3"/>
    <s v="Medical"/>
    <n v="1"/>
    <n v="374"/>
    <x v="2"/>
    <s v="Male"/>
    <n v="81"/>
    <n v="3"/>
    <n v="5"/>
    <x v="5"/>
    <x v="3"/>
    <s v="Single"/>
    <n v="19045"/>
    <n v="18938"/>
    <n v="0"/>
    <s v="Y"/>
    <x v="0"/>
    <n v="14"/>
    <n v="3"/>
    <n v="3"/>
    <n v="80"/>
    <n v="0"/>
    <n v="37"/>
    <n v="2"/>
    <x v="1"/>
    <x v="28"/>
    <n v="10"/>
    <n v="4"/>
    <n v="13"/>
  </r>
  <r>
    <n v="47"/>
    <x v="0"/>
    <s v="Non-Travel"/>
    <n v="666"/>
    <x v="1"/>
    <n v="29"/>
    <n v="4"/>
    <s v="Life Sciences"/>
    <n v="1"/>
    <n v="376"/>
    <x v="3"/>
    <s v="Male"/>
    <n v="88"/>
    <n v="3"/>
    <n v="3"/>
    <x v="5"/>
    <x v="1"/>
    <s v="Married"/>
    <n v="11849"/>
    <n v="10268"/>
    <n v="1"/>
    <s v="Y"/>
    <x v="0"/>
    <n v="12"/>
    <n v="3"/>
    <n v="4"/>
    <n v="80"/>
    <n v="1"/>
    <n v="10"/>
    <n v="2"/>
    <x v="2"/>
    <x v="1"/>
    <n v="7"/>
    <n v="9"/>
    <n v="9"/>
  </r>
  <r>
    <n v="28"/>
    <x v="1"/>
    <s v="Travel_Rarely"/>
    <n v="1158"/>
    <x v="1"/>
    <n v="9"/>
    <n v="3"/>
    <s v="Medical"/>
    <n v="1"/>
    <n v="377"/>
    <x v="2"/>
    <s v="Male"/>
    <n v="94"/>
    <n v="3"/>
    <n v="1"/>
    <x v="1"/>
    <x v="0"/>
    <s v="Married"/>
    <n v="2070"/>
    <n v="2613"/>
    <n v="1"/>
    <s v="Y"/>
    <x v="1"/>
    <n v="23"/>
    <n v="4"/>
    <n v="4"/>
    <n v="80"/>
    <n v="1"/>
    <n v="5"/>
    <n v="3"/>
    <x v="2"/>
    <x v="8"/>
    <n v="2"/>
    <n v="0"/>
    <n v="4"/>
  </r>
  <r>
    <n v="37"/>
    <x v="1"/>
    <s v="Travel_Rarely"/>
    <n v="228"/>
    <x v="0"/>
    <n v="6"/>
    <n v="4"/>
    <s v="Medical"/>
    <n v="1"/>
    <n v="378"/>
    <x v="1"/>
    <s v="Male"/>
    <n v="98"/>
    <n v="3"/>
    <n v="2"/>
    <x v="0"/>
    <x v="0"/>
    <s v="Married"/>
    <n v="6502"/>
    <n v="22825"/>
    <n v="4"/>
    <s v="Y"/>
    <x v="1"/>
    <n v="14"/>
    <n v="3"/>
    <n v="2"/>
    <n v="80"/>
    <n v="1"/>
    <n v="7"/>
    <n v="5"/>
    <x v="3"/>
    <x v="8"/>
    <n v="4"/>
    <n v="0"/>
    <n v="1"/>
  </r>
  <r>
    <n v="21"/>
    <x v="1"/>
    <s v="Travel_Rarely"/>
    <n v="996"/>
    <x v="1"/>
    <n v="3"/>
    <n v="2"/>
    <s v="Medical"/>
    <n v="1"/>
    <n v="379"/>
    <x v="2"/>
    <s v="Male"/>
    <n v="100"/>
    <n v="2"/>
    <n v="1"/>
    <x v="1"/>
    <x v="2"/>
    <s v="Single"/>
    <n v="3230"/>
    <n v="10531"/>
    <n v="1"/>
    <s v="Y"/>
    <x v="1"/>
    <n v="17"/>
    <n v="3"/>
    <n v="1"/>
    <n v="80"/>
    <n v="0"/>
    <n v="3"/>
    <n v="4"/>
    <x v="3"/>
    <x v="11"/>
    <n v="2"/>
    <n v="1"/>
    <n v="0"/>
  </r>
  <r>
    <n v="37"/>
    <x v="1"/>
    <s v="Non-Travel"/>
    <n v="728"/>
    <x v="1"/>
    <n v="1"/>
    <n v="4"/>
    <s v="Medical"/>
    <n v="1"/>
    <n v="380"/>
    <x v="3"/>
    <s v="Female"/>
    <n v="80"/>
    <n v="3"/>
    <n v="3"/>
    <x v="7"/>
    <x v="0"/>
    <s v="Divorced"/>
    <n v="13603"/>
    <n v="11677"/>
    <n v="2"/>
    <s v="Y"/>
    <x v="0"/>
    <n v="18"/>
    <n v="3"/>
    <n v="1"/>
    <n v="80"/>
    <n v="2"/>
    <n v="15"/>
    <n v="2"/>
    <x v="1"/>
    <x v="8"/>
    <n v="2"/>
    <n v="0"/>
    <n v="2"/>
  </r>
  <r>
    <n v="35"/>
    <x v="1"/>
    <s v="Travel_Rarely"/>
    <n v="1315"/>
    <x v="1"/>
    <n v="22"/>
    <n v="3"/>
    <s v="Life Sciences"/>
    <n v="1"/>
    <n v="381"/>
    <x v="0"/>
    <s v="Female"/>
    <n v="71"/>
    <n v="4"/>
    <n v="3"/>
    <x v="5"/>
    <x v="1"/>
    <s v="Divorced"/>
    <n v="11996"/>
    <n v="19100"/>
    <n v="7"/>
    <s v="Y"/>
    <x v="1"/>
    <n v="18"/>
    <n v="3"/>
    <n v="2"/>
    <n v="80"/>
    <n v="1"/>
    <n v="10"/>
    <n v="6"/>
    <x v="2"/>
    <x v="5"/>
    <n v="7"/>
    <n v="6"/>
    <n v="2"/>
  </r>
  <r>
    <n v="38"/>
    <x v="1"/>
    <s v="Travel_Rarely"/>
    <n v="322"/>
    <x v="0"/>
    <n v="7"/>
    <n v="2"/>
    <s v="Medical"/>
    <n v="1"/>
    <n v="382"/>
    <x v="3"/>
    <s v="Female"/>
    <n v="44"/>
    <n v="4"/>
    <n v="2"/>
    <x v="0"/>
    <x v="3"/>
    <s v="Divorced"/>
    <n v="5605"/>
    <n v="19191"/>
    <n v="1"/>
    <s v="Y"/>
    <x v="0"/>
    <n v="24"/>
    <n v="4"/>
    <n v="3"/>
    <n v="80"/>
    <n v="1"/>
    <n v="8"/>
    <n v="3"/>
    <x v="1"/>
    <x v="3"/>
    <n v="0"/>
    <n v="7"/>
    <n v="7"/>
  </r>
  <r>
    <n v="26"/>
    <x v="1"/>
    <s v="Travel_Frequently"/>
    <n v="1479"/>
    <x v="1"/>
    <n v="1"/>
    <n v="3"/>
    <s v="Life Sciences"/>
    <n v="1"/>
    <n v="384"/>
    <x v="1"/>
    <s v="Female"/>
    <n v="84"/>
    <n v="3"/>
    <n v="2"/>
    <x v="3"/>
    <x v="1"/>
    <s v="Divorced"/>
    <n v="6397"/>
    <n v="26767"/>
    <n v="1"/>
    <s v="Y"/>
    <x v="1"/>
    <n v="20"/>
    <n v="4"/>
    <n v="1"/>
    <n v="80"/>
    <n v="1"/>
    <n v="6"/>
    <n v="6"/>
    <x v="0"/>
    <x v="0"/>
    <n v="5"/>
    <n v="1"/>
    <n v="4"/>
  </r>
  <r>
    <n v="50"/>
    <x v="1"/>
    <s v="Travel_Rarely"/>
    <n v="797"/>
    <x v="1"/>
    <n v="4"/>
    <n v="1"/>
    <s v="Life Sciences"/>
    <n v="1"/>
    <n v="385"/>
    <x v="3"/>
    <s v="Male"/>
    <n v="96"/>
    <n v="3"/>
    <n v="5"/>
    <x v="7"/>
    <x v="1"/>
    <s v="Divorced"/>
    <n v="19144"/>
    <n v="15815"/>
    <n v="3"/>
    <s v="Y"/>
    <x v="1"/>
    <n v="14"/>
    <n v="3"/>
    <n v="1"/>
    <n v="80"/>
    <n v="2"/>
    <n v="28"/>
    <n v="4"/>
    <x v="2"/>
    <x v="1"/>
    <n v="4"/>
    <n v="1"/>
    <n v="6"/>
  </r>
  <r>
    <n v="53"/>
    <x v="1"/>
    <s v="Travel_Rarely"/>
    <n v="1070"/>
    <x v="1"/>
    <n v="3"/>
    <n v="4"/>
    <s v="Medical"/>
    <n v="1"/>
    <n v="386"/>
    <x v="1"/>
    <s v="Male"/>
    <n v="45"/>
    <n v="3"/>
    <n v="4"/>
    <x v="7"/>
    <x v="2"/>
    <s v="Married"/>
    <n v="17584"/>
    <n v="21016"/>
    <n v="3"/>
    <s v="Y"/>
    <x v="0"/>
    <n v="16"/>
    <n v="3"/>
    <n v="4"/>
    <n v="80"/>
    <n v="3"/>
    <n v="21"/>
    <n v="5"/>
    <x v="2"/>
    <x v="8"/>
    <n v="3"/>
    <n v="1"/>
    <n v="3"/>
  </r>
  <r>
    <n v="42"/>
    <x v="1"/>
    <s v="Travel_Rarely"/>
    <n v="635"/>
    <x v="0"/>
    <n v="1"/>
    <n v="1"/>
    <s v="Life Sciences"/>
    <n v="1"/>
    <n v="387"/>
    <x v="0"/>
    <s v="Male"/>
    <n v="99"/>
    <n v="3"/>
    <n v="2"/>
    <x v="0"/>
    <x v="2"/>
    <s v="Married"/>
    <n v="4907"/>
    <n v="24532"/>
    <n v="1"/>
    <s v="Y"/>
    <x v="1"/>
    <n v="25"/>
    <n v="4"/>
    <n v="3"/>
    <n v="80"/>
    <n v="0"/>
    <n v="20"/>
    <n v="3"/>
    <x v="1"/>
    <x v="23"/>
    <n v="16"/>
    <n v="11"/>
    <n v="6"/>
  </r>
  <r>
    <n v="29"/>
    <x v="1"/>
    <s v="Travel_Frequently"/>
    <n v="442"/>
    <x v="0"/>
    <n v="2"/>
    <n v="2"/>
    <s v="Life Sciences"/>
    <n v="1"/>
    <n v="388"/>
    <x v="0"/>
    <s v="Male"/>
    <n v="44"/>
    <n v="3"/>
    <n v="2"/>
    <x v="0"/>
    <x v="0"/>
    <s v="Single"/>
    <n v="4554"/>
    <n v="20260"/>
    <n v="1"/>
    <s v="Y"/>
    <x v="1"/>
    <n v="18"/>
    <n v="3"/>
    <n v="1"/>
    <n v="80"/>
    <n v="0"/>
    <n v="10"/>
    <n v="3"/>
    <x v="2"/>
    <x v="1"/>
    <n v="7"/>
    <n v="0"/>
    <n v="9"/>
  </r>
  <r>
    <n v="55"/>
    <x v="1"/>
    <s v="Travel_Rarely"/>
    <n v="147"/>
    <x v="1"/>
    <n v="20"/>
    <n v="2"/>
    <s v="Technical Degree"/>
    <n v="1"/>
    <n v="389"/>
    <x v="0"/>
    <s v="Male"/>
    <n v="37"/>
    <n v="3"/>
    <n v="2"/>
    <x v="2"/>
    <x v="0"/>
    <s v="Married"/>
    <n v="5415"/>
    <n v="15972"/>
    <n v="3"/>
    <s v="Y"/>
    <x v="0"/>
    <n v="19"/>
    <n v="3"/>
    <n v="4"/>
    <n v="80"/>
    <n v="1"/>
    <n v="12"/>
    <n v="4"/>
    <x v="1"/>
    <x v="1"/>
    <n v="7"/>
    <n v="0"/>
    <n v="8"/>
  </r>
  <r>
    <n v="26"/>
    <x v="1"/>
    <s v="Travel_Frequently"/>
    <n v="496"/>
    <x v="1"/>
    <n v="11"/>
    <n v="2"/>
    <s v="Medical"/>
    <n v="1"/>
    <n v="390"/>
    <x v="3"/>
    <s v="Male"/>
    <n v="60"/>
    <n v="3"/>
    <n v="2"/>
    <x v="4"/>
    <x v="3"/>
    <s v="Married"/>
    <n v="4741"/>
    <n v="22722"/>
    <n v="1"/>
    <s v="Y"/>
    <x v="0"/>
    <n v="13"/>
    <n v="3"/>
    <n v="3"/>
    <n v="80"/>
    <n v="1"/>
    <n v="5"/>
    <n v="3"/>
    <x v="1"/>
    <x v="8"/>
    <n v="3"/>
    <n v="3"/>
    <n v="3"/>
  </r>
  <r>
    <n v="37"/>
    <x v="1"/>
    <s v="Travel_Rarely"/>
    <n v="1372"/>
    <x v="1"/>
    <n v="1"/>
    <n v="3"/>
    <s v="Life Sciences"/>
    <n v="1"/>
    <n v="391"/>
    <x v="2"/>
    <s v="Female"/>
    <n v="42"/>
    <n v="3"/>
    <n v="1"/>
    <x v="1"/>
    <x v="0"/>
    <s v="Single"/>
    <n v="2115"/>
    <n v="15881"/>
    <n v="1"/>
    <s v="Y"/>
    <x v="1"/>
    <n v="12"/>
    <n v="3"/>
    <n v="2"/>
    <n v="80"/>
    <n v="0"/>
    <n v="17"/>
    <n v="3"/>
    <x v="1"/>
    <x v="18"/>
    <n v="12"/>
    <n v="5"/>
    <n v="7"/>
  </r>
  <r>
    <n v="44"/>
    <x v="0"/>
    <s v="Travel_Frequently"/>
    <n v="920"/>
    <x v="1"/>
    <n v="24"/>
    <n v="3"/>
    <s v="Life Sciences"/>
    <n v="1"/>
    <n v="392"/>
    <x v="2"/>
    <s v="Male"/>
    <n v="43"/>
    <n v="3"/>
    <n v="1"/>
    <x v="2"/>
    <x v="2"/>
    <s v="Divorced"/>
    <n v="3161"/>
    <n v="19920"/>
    <n v="3"/>
    <s v="Y"/>
    <x v="0"/>
    <n v="22"/>
    <n v="4"/>
    <n v="4"/>
    <n v="80"/>
    <n v="1"/>
    <n v="19"/>
    <n v="0"/>
    <x v="0"/>
    <x v="6"/>
    <n v="0"/>
    <n v="0"/>
    <n v="0"/>
  </r>
  <r>
    <n v="38"/>
    <x v="1"/>
    <s v="Travel_Rarely"/>
    <n v="688"/>
    <x v="1"/>
    <n v="23"/>
    <n v="4"/>
    <s v="Life Sciences"/>
    <n v="1"/>
    <n v="393"/>
    <x v="2"/>
    <s v="Male"/>
    <n v="82"/>
    <n v="3"/>
    <n v="2"/>
    <x v="4"/>
    <x v="0"/>
    <s v="Divorced"/>
    <n v="5745"/>
    <n v="18899"/>
    <n v="9"/>
    <s v="Y"/>
    <x v="1"/>
    <n v="14"/>
    <n v="3"/>
    <n v="2"/>
    <n v="80"/>
    <n v="1"/>
    <n v="10"/>
    <n v="2"/>
    <x v="1"/>
    <x v="4"/>
    <n v="2"/>
    <n v="1"/>
    <n v="2"/>
  </r>
  <r>
    <n v="26"/>
    <x v="0"/>
    <s v="Travel_Rarely"/>
    <n v="1449"/>
    <x v="1"/>
    <n v="16"/>
    <n v="4"/>
    <s v="Medical"/>
    <n v="1"/>
    <n v="394"/>
    <x v="3"/>
    <s v="Male"/>
    <n v="45"/>
    <n v="3"/>
    <n v="1"/>
    <x v="2"/>
    <x v="1"/>
    <s v="Divorced"/>
    <n v="2373"/>
    <n v="14180"/>
    <n v="2"/>
    <s v="Y"/>
    <x v="0"/>
    <n v="13"/>
    <n v="3"/>
    <n v="4"/>
    <n v="80"/>
    <n v="1"/>
    <n v="5"/>
    <n v="2"/>
    <x v="1"/>
    <x v="11"/>
    <n v="2"/>
    <n v="0"/>
    <n v="2"/>
  </r>
  <r>
    <n v="28"/>
    <x v="1"/>
    <s v="Travel_Rarely"/>
    <n v="1117"/>
    <x v="1"/>
    <n v="8"/>
    <n v="2"/>
    <s v="Life Sciences"/>
    <n v="1"/>
    <n v="395"/>
    <x v="2"/>
    <s v="Female"/>
    <n v="66"/>
    <n v="3"/>
    <n v="1"/>
    <x v="1"/>
    <x v="0"/>
    <s v="Single"/>
    <n v="3310"/>
    <n v="4488"/>
    <n v="1"/>
    <s v="Y"/>
    <x v="1"/>
    <n v="21"/>
    <n v="4"/>
    <n v="4"/>
    <n v="80"/>
    <n v="0"/>
    <n v="5"/>
    <n v="3"/>
    <x v="1"/>
    <x v="8"/>
    <n v="3"/>
    <n v="0"/>
    <n v="2"/>
  </r>
  <r>
    <n v="49"/>
    <x v="1"/>
    <s v="Travel_Frequently"/>
    <n v="636"/>
    <x v="1"/>
    <n v="10"/>
    <n v="4"/>
    <s v="Life Sciences"/>
    <n v="1"/>
    <n v="396"/>
    <x v="1"/>
    <s v="Female"/>
    <n v="35"/>
    <n v="3"/>
    <n v="5"/>
    <x v="7"/>
    <x v="3"/>
    <s v="Single"/>
    <n v="18665"/>
    <n v="25594"/>
    <n v="9"/>
    <s v="Y"/>
    <x v="0"/>
    <n v="11"/>
    <n v="3"/>
    <n v="4"/>
    <n v="80"/>
    <n v="0"/>
    <n v="22"/>
    <n v="4"/>
    <x v="1"/>
    <x v="11"/>
    <n v="2"/>
    <n v="1"/>
    <n v="2"/>
  </r>
  <r>
    <n v="36"/>
    <x v="1"/>
    <s v="Travel_Rarely"/>
    <n v="506"/>
    <x v="1"/>
    <n v="3"/>
    <n v="3"/>
    <s v="Technical Degree"/>
    <n v="1"/>
    <n v="397"/>
    <x v="1"/>
    <s v="Male"/>
    <n v="30"/>
    <n v="3"/>
    <n v="2"/>
    <x v="1"/>
    <x v="1"/>
    <s v="Single"/>
    <n v="4485"/>
    <n v="26285"/>
    <n v="4"/>
    <s v="Y"/>
    <x v="1"/>
    <n v="12"/>
    <n v="3"/>
    <n v="4"/>
    <n v="80"/>
    <n v="0"/>
    <n v="10"/>
    <n v="2"/>
    <x v="1"/>
    <x v="3"/>
    <n v="0"/>
    <n v="7"/>
    <n v="7"/>
  </r>
  <r>
    <n v="31"/>
    <x v="1"/>
    <s v="Travel_Frequently"/>
    <n v="444"/>
    <x v="0"/>
    <n v="5"/>
    <n v="3"/>
    <s v="Marketing"/>
    <n v="1"/>
    <n v="399"/>
    <x v="2"/>
    <s v="Female"/>
    <n v="84"/>
    <n v="3"/>
    <n v="1"/>
    <x v="6"/>
    <x v="1"/>
    <s v="Divorced"/>
    <n v="2789"/>
    <n v="3909"/>
    <n v="1"/>
    <s v="Y"/>
    <x v="1"/>
    <n v="11"/>
    <n v="3"/>
    <n v="3"/>
    <n v="80"/>
    <n v="1"/>
    <n v="2"/>
    <n v="5"/>
    <x v="2"/>
    <x v="4"/>
    <n v="2"/>
    <n v="2"/>
    <n v="2"/>
  </r>
  <r>
    <n v="26"/>
    <x v="0"/>
    <s v="Travel_Rarely"/>
    <n v="950"/>
    <x v="0"/>
    <n v="4"/>
    <n v="4"/>
    <s v="Marketing"/>
    <n v="1"/>
    <n v="401"/>
    <x v="2"/>
    <s v="Male"/>
    <n v="48"/>
    <n v="2"/>
    <n v="2"/>
    <x v="0"/>
    <x v="0"/>
    <s v="Single"/>
    <n v="5828"/>
    <n v="8450"/>
    <n v="1"/>
    <s v="Y"/>
    <x v="0"/>
    <n v="12"/>
    <n v="3"/>
    <n v="2"/>
    <n v="80"/>
    <n v="0"/>
    <n v="8"/>
    <n v="0"/>
    <x v="1"/>
    <x v="3"/>
    <n v="7"/>
    <n v="7"/>
    <n v="4"/>
  </r>
  <r>
    <n v="37"/>
    <x v="1"/>
    <s v="Travel_Frequently"/>
    <n v="889"/>
    <x v="1"/>
    <n v="9"/>
    <n v="3"/>
    <s v="Medical"/>
    <n v="1"/>
    <n v="403"/>
    <x v="0"/>
    <s v="Male"/>
    <n v="53"/>
    <n v="3"/>
    <n v="1"/>
    <x v="1"/>
    <x v="0"/>
    <s v="Married"/>
    <n v="2326"/>
    <n v="11411"/>
    <n v="1"/>
    <s v="Y"/>
    <x v="0"/>
    <n v="12"/>
    <n v="3"/>
    <n v="3"/>
    <n v="80"/>
    <n v="3"/>
    <n v="4"/>
    <n v="3"/>
    <x v="2"/>
    <x v="9"/>
    <n v="2"/>
    <n v="1"/>
    <n v="2"/>
  </r>
  <r>
    <n v="42"/>
    <x v="1"/>
    <s v="Travel_Frequently"/>
    <n v="555"/>
    <x v="0"/>
    <n v="26"/>
    <n v="3"/>
    <s v="Marketing"/>
    <n v="1"/>
    <n v="404"/>
    <x v="1"/>
    <s v="Female"/>
    <n v="77"/>
    <n v="3"/>
    <n v="4"/>
    <x v="0"/>
    <x v="1"/>
    <s v="Married"/>
    <n v="13525"/>
    <n v="14864"/>
    <n v="5"/>
    <s v="Y"/>
    <x v="1"/>
    <n v="14"/>
    <n v="3"/>
    <n v="4"/>
    <n v="80"/>
    <n v="1"/>
    <n v="23"/>
    <n v="2"/>
    <x v="3"/>
    <x v="23"/>
    <n v="4"/>
    <n v="4"/>
    <n v="8"/>
  </r>
  <r>
    <n v="18"/>
    <x v="0"/>
    <s v="Travel_Rarely"/>
    <n v="230"/>
    <x v="1"/>
    <n v="3"/>
    <n v="3"/>
    <s v="Life Sciences"/>
    <n v="1"/>
    <n v="405"/>
    <x v="1"/>
    <s v="Male"/>
    <n v="54"/>
    <n v="3"/>
    <n v="1"/>
    <x v="2"/>
    <x v="2"/>
    <s v="Single"/>
    <n v="1420"/>
    <n v="25233"/>
    <n v="1"/>
    <s v="Y"/>
    <x v="1"/>
    <n v="13"/>
    <n v="3"/>
    <n v="3"/>
    <n v="80"/>
    <n v="0"/>
    <n v="0"/>
    <n v="2"/>
    <x v="1"/>
    <x v="2"/>
    <n v="0"/>
    <n v="0"/>
    <n v="0"/>
  </r>
  <r>
    <n v="35"/>
    <x v="1"/>
    <s v="Travel_Rarely"/>
    <n v="1232"/>
    <x v="0"/>
    <n v="16"/>
    <n v="3"/>
    <s v="Marketing"/>
    <n v="1"/>
    <n v="406"/>
    <x v="1"/>
    <s v="Male"/>
    <n v="96"/>
    <n v="3"/>
    <n v="3"/>
    <x v="0"/>
    <x v="1"/>
    <s v="Married"/>
    <n v="8020"/>
    <n v="5100"/>
    <n v="0"/>
    <s v="Y"/>
    <x v="1"/>
    <n v="15"/>
    <n v="3"/>
    <n v="3"/>
    <n v="80"/>
    <n v="2"/>
    <n v="12"/>
    <n v="3"/>
    <x v="2"/>
    <x v="19"/>
    <n v="9"/>
    <n v="6"/>
    <n v="9"/>
  </r>
  <r>
    <n v="36"/>
    <x v="1"/>
    <s v="Travel_Frequently"/>
    <n v="566"/>
    <x v="1"/>
    <n v="18"/>
    <n v="4"/>
    <s v="Life Sciences"/>
    <n v="1"/>
    <n v="407"/>
    <x v="1"/>
    <s v="Male"/>
    <n v="81"/>
    <n v="4"/>
    <n v="1"/>
    <x v="2"/>
    <x v="0"/>
    <s v="Married"/>
    <n v="3688"/>
    <n v="7122"/>
    <n v="4"/>
    <s v="Y"/>
    <x v="1"/>
    <n v="18"/>
    <n v="3"/>
    <n v="4"/>
    <n v="80"/>
    <n v="2"/>
    <n v="4"/>
    <n v="2"/>
    <x v="1"/>
    <x v="6"/>
    <n v="0"/>
    <n v="0"/>
    <n v="0"/>
  </r>
  <r>
    <n v="51"/>
    <x v="1"/>
    <s v="Travel_Rarely"/>
    <n v="1302"/>
    <x v="1"/>
    <n v="2"/>
    <n v="3"/>
    <s v="Medical"/>
    <n v="1"/>
    <n v="408"/>
    <x v="2"/>
    <s v="Male"/>
    <n v="84"/>
    <n v="1"/>
    <n v="2"/>
    <x v="3"/>
    <x v="1"/>
    <s v="Divorced"/>
    <n v="5482"/>
    <n v="16321"/>
    <n v="5"/>
    <s v="Y"/>
    <x v="1"/>
    <n v="18"/>
    <n v="3"/>
    <n v="4"/>
    <n v="80"/>
    <n v="1"/>
    <n v="13"/>
    <n v="3"/>
    <x v="1"/>
    <x v="9"/>
    <n v="1"/>
    <n v="1"/>
    <n v="2"/>
  </r>
  <r>
    <n v="41"/>
    <x v="1"/>
    <s v="Travel_Rarely"/>
    <n v="334"/>
    <x v="0"/>
    <n v="2"/>
    <n v="4"/>
    <s v="Life Sciences"/>
    <n v="1"/>
    <n v="410"/>
    <x v="2"/>
    <s v="Male"/>
    <n v="88"/>
    <n v="3"/>
    <n v="4"/>
    <x v="5"/>
    <x v="1"/>
    <s v="Single"/>
    <n v="16015"/>
    <n v="15896"/>
    <n v="1"/>
    <s v="Y"/>
    <x v="1"/>
    <n v="19"/>
    <n v="3"/>
    <n v="2"/>
    <n v="80"/>
    <n v="0"/>
    <n v="22"/>
    <n v="2"/>
    <x v="1"/>
    <x v="14"/>
    <n v="10"/>
    <n v="0"/>
    <n v="4"/>
  </r>
  <r>
    <n v="18"/>
    <x v="1"/>
    <s v="Travel_Rarely"/>
    <n v="812"/>
    <x v="0"/>
    <n v="10"/>
    <n v="3"/>
    <s v="Medical"/>
    <n v="1"/>
    <n v="411"/>
    <x v="2"/>
    <s v="Female"/>
    <n v="69"/>
    <n v="2"/>
    <n v="1"/>
    <x v="6"/>
    <x v="2"/>
    <s v="Single"/>
    <n v="1200"/>
    <n v="9724"/>
    <n v="1"/>
    <s v="Y"/>
    <x v="1"/>
    <n v="12"/>
    <n v="3"/>
    <n v="1"/>
    <n v="80"/>
    <n v="0"/>
    <n v="0"/>
    <n v="2"/>
    <x v="1"/>
    <x v="2"/>
    <n v="0"/>
    <n v="0"/>
    <n v="0"/>
  </r>
  <r>
    <n v="28"/>
    <x v="1"/>
    <s v="Travel_Rarely"/>
    <n v="1476"/>
    <x v="1"/>
    <n v="16"/>
    <n v="2"/>
    <s v="Medical"/>
    <n v="1"/>
    <n v="412"/>
    <x v="0"/>
    <s v="Male"/>
    <n v="68"/>
    <n v="4"/>
    <n v="2"/>
    <x v="4"/>
    <x v="3"/>
    <s v="Single"/>
    <n v="5661"/>
    <n v="4824"/>
    <n v="0"/>
    <s v="Y"/>
    <x v="1"/>
    <n v="19"/>
    <n v="3"/>
    <n v="3"/>
    <n v="80"/>
    <n v="0"/>
    <n v="9"/>
    <n v="2"/>
    <x v="1"/>
    <x v="3"/>
    <n v="3"/>
    <n v="0"/>
    <n v="7"/>
  </r>
  <r>
    <n v="31"/>
    <x v="1"/>
    <s v="Travel_Rarely"/>
    <n v="218"/>
    <x v="0"/>
    <n v="7"/>
    <n v="3"/>
    <s v="Technical Degree"/>
    <n v="1"/>
    <n v="416"/>
    <x v="0"/>
    <s v="Male"/>
    <n v="100"/>
    <n v="4"/>
    <n v="2"/>
    <x v="0"/>
    <x v="0"/>
    <s v="Married"/>
    <n v="6929"/>
    <n v="12241"/>
    <n v="4"/>
    <s v="Y"/>
    <x v="1"/>
    <n v="11"/>
    <n v="3"/>
    <n v="2"/>
    <n v="80"/>
    <n v="1"/>
    <n v="10"/>
    <n v="3"/>
    <x v="2"/>
    <x v="3"/>
    <n v="7"/>
    <n v="7"/>
    <n v="7"/>
  </r>
  <r>
    <n v="39"/>
    <x v="1"/>
    <s v="Travel_Rarely"/>
    <n v="1132"/>
    <x v="1"/>
    <n v="1"/>
    <n v="3"/>
    <s v="Medical"/>
    <n v="1"/>
    <n v="417"/>
    <x v="1"/>
    <s v="Male"/>
    <n v="48"/>
    <n v="4"/>
    <n v="3"/>
    <x v="4"/>
    <x v="0"/>
    <s v="Divorced"/>
    <n v="9613"/>
    <n v="10942"/>
    <n v="0"/>
    <s v="Y"/>
    <x v="1"/>
    <n v="17"/>
    <n v="3"/>
    <n v="1"/>
    <n v="80"/>
    <n v="3"/>
    <n v="19"/>
    <n v="5"/>
    <x v="2"/>
    <x v="29"/>
    <n v="10"/>
    <n v="3"/>
    <n v="7"/>
  </r>
  <r>
    <n v="36"/>
    <x v="1"/>
    <s v="Non-Travel"/>
    <n v="1105"/>
    <x v="1"/>
    <n v="24"/>
    <n v="4"/>
    <s v="Life Sciences"/>
    <n v="1"/>
    <n v="419"/>
    <x v="0"/>
    <s v="Female"/>
    <n v="47"/>
    <n v="3"/>
    <n v="2"/>
    <x v="2"/>
    <x v="1"/>
    <s v="Married"/>
    <n v="5674"/>
    <n v="6927"/>
    <n v="7"/>
    <s v="Y"/>
    <x v="1"/>
    <n v="15"/>
    <n v="3"/>
    <n v="3"/>
    <n v="80"/>
    <n v="1"/>
    <n v="11"/>
    <n v="3"/>
    <x v="1"/>
    <x v="7"/>
    <n v="8"/>
    <n v="0"/>
    <n v="8"/>
  </r>
  <r>
    <n v="32"/>
    <x v="1"/>
    <s v="Travel_Rarely"/>
    <n v="906"/>
    <x v="0"/>
    <n v="7"/>
    <n v="3"/>
    <s v="Life Sciences"/>
    <n v="1"/>
    <n v="420"/>
    <x v="2"/>
    <s v="Male"/>
    <n v="91"/>
    <n v="2"/>
    <n v="2"/>
    <x v="0"/>
    <x v="2"/>
    <s v="Married"/>
    <n v="5484"/>
    <n v="16985"/>
    <n v="1"/>
    <s v="Y"/>
    <x v="1"/>
    <n v="14"/>
    <n v="3"/>
    <n v="3"/>
    <n v="80"/>
    <n v="1"/>
    <n v="13"/>
    <n v="3"/>
    <x v="2"/>
    <x v="20"/>
    <n v="8"/>
    <n v="4"/>
    <n v="8"/>
  </r>
  <r>
    <n v="38"/>
    <x v="1"/>
    <s v="Travel_Rarely"/>
    <n v="849"/>
    <x v="1"/>
    <n v="25"/>
    <n v="2"/>
    <s v="Life Sciences"/>
    <n v="1"/>
    <n v="421"/>
    <x v="3"/>
    <s v="Female"/>
    <n v="81"/>
    <n v="2"/>
    <n v="3"/>
    <x v="7"/>
    <x v="1"/>
    <s v="Married"/>
    <n v="12061"/>
    <n v="26707"/>
    <n v="3"/>
    <s v="Y"/>
    <x v="1"/>
    <n v="17"/>
    <n v="3"/>
    <n v="3"/>
    <n v="80"/>
    <n v="1"/>
    <n v="19"/>
    <n v="2"/>
    <x v="1"/>
    <x v="1"/>
    <n v="8"/>
    <n v="0"/>
    <n v="1"/>
  </r>
  <r>
    <n v="58"/>
    <x v="1"/>
    <s v="Non-Travel"/>
    <n v="390"/>
    <x v="1"/>
    <n v="1"/>
    <n v="4"/>
    <s v="Life Sciences"/>
    <n v="1"/>
    <n v="422"/>
    <x v="2"/>
    <s v="Male"/>
    <n v="32"/>
    <n v="1"/>
    <n v="2"/>
    <x v="4"/>
    <x v="2"/>
    <s v="Divorced"/>
    <n v="5660"/>
    <n v="17056"/>
    <n v="2"/>
    <s v="Y"/>
    <x v="0"/>
    <n v="13"/>
    <n v="3"/>
    <n v="4"/>
    <n v="80"/>
    <n v="1"/>
    <n v="12"/>
    <n v="2"/>
    <x v="1"/>
    <x v="8"/>
    <n v="3"/>
    <n v="1"/>
    <n v="2"/>
  </r>
  <r>
    <n v="31"/>
    <x v="1"/>
    <s v="Travel_Rarely"/>
    <n v="691"/>
    <x v="1"/>
    <n v="5"/>
    <n v="4"/>
    <s v="Technical Degree"/>
    <n v="1"/>
    <n v="423"/>
    <x v="1"/>
    <s v="Male"/>
    <n v="86"/>
    <n v="3"/>
    <n v="1"/>
    <x v="1"/>
    <x v="0"/>
    <s v="Married"/>
    <n v="4821"/>
    <n v="10077"/>
    <n v="0"/>
    <s v="Y"/>
    <x v="0"/>
    <n v="12"/>
    <n v="3"/>
    <n v="3"/>
    <n v="80"/>
    <n v="1"/>
    <n v="6"/>
    <n v="4"/>
    <x v="1"/>
    <x v="8"/>
    <n v="2"/>
    <n v="0"/>
    <n v="3"/>
  </r>
  <r>
    <n v="31"/>
    <x v="1"/>
    <s v="Travel_Rarely"/>
    <n v="106"/>
    <x v="2"/>
    <n v="2"/>
    <n v="3"/>
    <s v="Human Resources"/>
    <n v="1"/>
    <n v="424"/>
    <x v="3"/>
    <s v="Male"/>
    <n v="62"/>
    <n v="2"/>
    <n v="2"/>
    <x v="8"/>
    <x v="3"/>
    <s v="Married"/>
    <n v="6410"/>
    <n v="17822"/>
    <n v="3"/>
    <s v="Y"/>
    <x v="1"/>
    <n v="12"/>
    <n v="3"/>
    <n v="4"/>
    <n v="80"/>
    <n v="0"/>
    <n v="9"/>
    <n v="1"/>
    <x v="1"/>
    <x v="4"/>
    <n v="2"/>
    <n v="1"/>
    <n v="0"/>
  </r>
  <r>
    <n v="45"/>
    <x v="1"/>
    <s v="Travel_Frequently"/>
    <n v="1249"/>
    <x v="1"/>
    <n v="7"/>
    <n v="3"/>
    <s v="Life Sciences"/>
    <n v="1"/>
    <n v="425"/>
    <x v="3"/>
    <s v="Male"/>
    <n v="97"/>
    <n v="3"/>
    <n v="3"/>
    <x v="2"/>
    <x v="3"/>
    <s v="Divorced"/>
    <n v="5210"/>
    <n v="20308"/>
    <n v="1"/>
    <s v="Y"/>
    <x v="1"/>
    <n v="18"/>
    <n v="3"/>
    <n v="1"/>
    <n v="80"/>
    <n v="1"/>
    <n v="24"/>
    <n v="2"/>
    <x v="1"/>
    <x v="25"/>
    <n v="9"/>
    <n v="9"/>
    <n v="11"/>
  </r>
  <r>
    <n v="31"/>
    <x v="1"/>
    <s v="Travel_Rarely"/>
    <n v="192"/>
    <x v="1"/>
    <n v="2"/>
    <n v="4"/>
    <s v="Life Sciences"/>
    <n v="1"/>
    <n v="426"/>
    <x v="1"/>
    <s v="Male"/>
    <n v="32"/>
    <n v="3"/>
    <n v="1"/>
    <x v="1"/>
    <x v="0"/>
    <s v="Divorced"/>
    <n v="2695"/>
    <n v="7747"/>
    <n v="0"/>
    <s v="Y"/>
    <x v="0"/>
    <n v="18"/>
    <n v="3"/>
    <n v="2"/>
    <n v="80"/>
    <n v="1"/>
    <n v="3"/>
    <n v="2"/>
    <x v="0"/>
    <x v="4"/>
    <n v="2"/>
    <n v="2"/>
    <n v="2"/>
  </r>
  <r>
    <n v="33"/>
    <x v="1"/>
    <s v="Travel_Frequently"/>
    <n v="553"/>
    <x v="1"/>
    <n v="5"/>
    <n v="4"/>
    <s v="Life Sciences"/>
    <n v="1"/>
    <n v="428"/>
    <x v="2"/>
    <s v="Female"/>
    <n v="74"/>
    <n v="3"/>
    <n v="3"/>
    <x v="5"/>
    <x v="1"/>
    <s v="Married"/>
    <n v="11878"/>
    <n v="23364"/>
    <n v="6"/>
    <s v="Y"/>
    <x v="1"/>
    <n v="11"/>
    <n v="3"/>
    <n v="2"/>
    <n v="80"/>
    <n v="2"/>
    <n v="12"/>
    <n v="2"/>
    <x v="1"/>
    <x v="1"/>
    <n v="6"/>
    <n v="8"/>
    <n v="8"/>
  </r>
  <r>
    <n v="39"/>
    <x v="1"/>
    <s v="Travel_Rarely"/>
    <n v="117"/>
    <x v="1"/>
    <n v="10"/>
    <n v="1"/>
    <s v="Medical"/>
    <n v="1"/>
    <n v="429"/>
    <x v="1"/>
    <s v="Male"/>
    <n v="99"/>
    <n v="3"/>
    <n v="4"/>
    <x v="5"/>
    <x v="3"/>
    <s v="Married"/>
    <n v="17068"/>
    <n v="5355"/>
    <n v="1"/>
    <s v="Y"/>
    <x v="0"/>
    <n v="14"/>
    <n v="3"/>
    <n v="4"/>
    <n v="80"/>
    <n v="0"/>
    <n v="21"/>
    <n v="3"/>
    <x v="1"/>
    <x v="17"/>
    <n v="9"/>
    <n v="11"/>
    <n v="10"/>
  </r>
  <r>
    <n v="43"/>
    <x v="1"/>
    <s v="Travel_Frequently"/>
    <n v="185"/>
    <x v="1"/>
    <n v="10"/>
    <n v="4"/>
    <s v="Life Sciences"/>
    <n v="1"/>
    <n v="430"/>
    <x v="1"/>
    <s v="Female"/>
    <n v="33"/>
    <n v="3"/>
    <n v="1"/>
    <x v="2"/>
    <x v="0"/>
    <s v="Single"/>
    <n v="2455"/>
    <n v="10675"/>
    <n v="0"/>
    <s v="Y"/>
    <x v="1"/>
    <n v="19"/>
    <n v="3"/>
    <n v="1"/>
    <n v="80"/>
    <n v="0"/>
    <n v="9"/>
    <n v="5"/>
    <x v="1"/>
    <x v="3"/>
    <n v="7"/>
    <n v="1"/>
    <n v="7"/>
  </r>
  <r>
    <n v="49"/>
    <x v="1"/>
    <s v="Travel_Rarely"/>
    <n v="1091"/>
    <x v="1"/>
    <n v="1"/>
    <n v="2"/>
    <s v="Technical Degree"/>
    <n v="1"/>
    <n v="431"/>
    <x v="1"/>
    <s v="Female"/>
    <n v="90"/>
    <n v="2"/>
    <n v="4"/>
    <x v="4"/>
    <x v="2"/>
    <s v="Single"/>
    <n v="13964"/>
    <n v="17810"/>
    <n v="7"/>
    <s v="Y"/>
    <x v="0"/>
    <n v="12"/>
    <n v="3"/>
    <n v="4"/>
    <n v="80"/>
    <n v="0"/>
    <n v="25"/>
    <n v="2"/>
    <x v="1"/>
    <x v="5"/>
    <n v="1"/>
    <n v="0"/>
    <n v="7"/>
  </r>
  <r>
    <n v="52"/>
    <x v="0"/>
    <s v="Travel_Rarely"/>
    <n v="723"/>
    <x v="1"/>
    <n v="8"/>
    <n v="4"/>
    <s v="Medical"/>
    <n v="1"/>
    <n v="433"/>
    <x v="1"/>
    <s v="Male"/>
    <n v="85"/>
    <n v="2"/>
    <n v="2"/>
    <x v="1"/>
    <x v="1"/>
    <s v="Married"/>
    <n v="4941"/>
    <n v="17747"/>
    <n v="2"/>
    <s v="Y"/>
    <x v="1"/>
    <n v="15"/>
    <n v="3"/>
    <n v="1"/>
    <n v="80"/>
    <n v="0"/>
    <n v="11"/>
    <n v="3"/>
    <x v="2"/>
    <x v="3"/>
    <n v="2"/>
    <n v="7"/>
    <n v="7"/>
  </r>
  <r>
    <n v="27"/>
    <x v="1"/>
    <s v="Travel_Rarely"/>
    <n v="1220"/>
    <x v="1"/>
    <n v="5"/>
    <n v="3"/>
    <s v="Life Sciences"/>
    <n v="1"/>
    <n v="434"/>
    <x v="1"/>
    <s v="Female"/>
    <n v="85"/>
    <n v="3"/>
    <n v="1"/>
    <x v="1"/>
    <x v="1"/>
    <s v="Single"/>
    <n v="2478"/>
    <n v="20938"/>
    <n v="1"/>
    <s v="Y"/>
    <x v="0"/>
    <n v="12"/>
    <n v="3"/>
    <n v="2"/>
    <n v="80"/>
    <n v="0"/>
    <n v="4"/>
    <n v="2"/>
    <x v="2"/>
    <x v="9"/>
    <n v="3"/>
    <n v="1"/>
    <n v="2"/>
  </r>
  <r>
    <n v="32"/>
    <x v="1"/>
    <s v="Travel_Rarely"/>
    <n v="588"/>
    <x v="0"/>
    <n v="8"/>
    <n v="2"/>
    <s v="Technical Degree"/>
    <n v="1"/>
    <n v="436"/>
    <x v="1"/>
    <s v="Female"/>
    <n v="65"/>
    <n v="2"/>
    <n v="2"/>
    <x v="0"/>
    <x v="1"/>
    <s v="Married"/>
    <n v="5228"/>
    <n v="24624"/>
    <n v="1"/>
    <s v="Y"/>
    <x v="0"/>
    <n v="11"/>
    <n v="3"/>
    <n v="4"/>
    <n v="80"/>
    <n v="0"/>
    <n v="13"/>
    <n v="2"/>
    <x v="1"/>
    <x v="20"/>
    <n v="12"/>
    <n v="11"/>
    <n v="9"/>
  </r>
  <r>
    <n v="27"/>
    <x v="1"/>
    <s v="Travel_Rarely"/>
    <n v="1377"/>
    <x v="0"/>
    <n v="2"/>
    <n v="3"/>
    <s v="Life Sciences"/>
    <n v="1"/>
    <n v="437"/>
    <x v="2"/>
    <s v="Male"/>
    <n v="74"/>
    <n v="3"/>
    <n v="2"/>
    <x v="0"/>
    <x v="2"/>
    <s v="Single"/>
    <n v="4478"/>
    <n v="5242"/>
    <n v="1"/>
    <s v="Y"/>
    <x v="0"/>
    <n v="11"/>
    <n v="3"/>
    <n v="1"/>
    <n v="80"/>
    <n v="0"/>
    <n v="5"/>
    <n v="3"/>
    <x v="1"/>
    <x v="8"/>
    <n v="4"/>
    <n v="0"/>
    <n v="4"/>
  </r>
  <r>
    <n v="31"/>
    <x v="1"/>
    <s v="Travel_Rarely"/>
    <n v="691"/>
    <x v="0"/>
    <n v="7"/>
    <n v="3"/>
    <s v="Marketing"/>
    <n v="1"/>
    <n v="438"/>
    <x v="2"/>
    <s v="Male"/>
    <n v="73"/>
    <n v="3"/>
    <n v="2"/>
    <x v="0"/>
    <x v="0"/>
    <s v="Divorced"/>
    <n v="7547"/>
    <n v="7143"/>
    <n v="4"/>
    <s v="Y"/>
    <x v="1"/>
    <n v="12"/>
    <n v="3"/>
    <n v="4"/>
    <n v="80"/>
    <n v="3"/>
    <n v="13"/>
    <n v="3"/>
    <x v="1"/>
    <x v="5"/>
    <n v="7"/>
    <n v="1"/>
    <n v="7"/>
  </r>
  <r>
    <n v="32"/>
    <x v="1"/>
    <s v="Travel_Rarely"/>
    <n v="1018"/>
    <x v="1"/>
    <n v="2"/>
    <n v="4"/>
    <s v="Medical"/>
    <n v="1"/>
    <n v="439"/>
    <x v="3"/>
    <s v="Female"/>
    <n v="74"/>
    <n v="4"/>
    <n v="2"/>
    <x v="1"/>
    <x v="0"/>
    <s v="Single"/>
    <n v="5055"/>
    <n v="10557"/>
    <n v="7"/>
    <s v="Y"/>
    <x v="1"/>
    <n v="16"/>
    <n v="3"/>
    <n v="3"/>
    <n v="80"/>
    <n v="0"/>
    <n v="10"/>
    <n v="0"/>
    <x v="2"/>
    <x v="5"/>
    <n v="7"/>
    <n v="0"/>
    <n v="7"/>
  </r>
  <r>
    <n v="28"/>
    <x v="0"/>
    <s v="Travel_Rarely"/>
    <n v="1157"/>
    <x v="1"/>
    <n v="2"/>
    <n v="4"/>
    <s v="Medical"/>
    <n v="1"/>
    <n v="440"/>
    <x v="3"/>
    <s v="Male"/>
    <n v="84"/>
    <n v="1"/>
    <n v="1"/>
    <x v="1"/>
    <x v="0"/>
    <s v="Married"/>
    <n v="3464"/>
    <n v="24737"/>
    <n v="5"/>
    <s v="Y"/>
    <x v="0"/>
    <n v="13"/>
    <n v="3"/>
    <n v="4"/>
    <n v="80"/>
    <n v="0"/>
    <n v="5"/>
    <n v="4"/>
    <x v="2"/>
    <x v="11"/>
    <n v="2"/>
    <n v="2"/>
    <n v="2"/>
  </r>
  <r>
    <n v="30"/>
    <x v="1"/>
    <s v="Travel_Rarely"/>
    <n v="1275"/>
    <x v="1"/>
    <n v="28"/>
    <n v="2"/>
    <s v="Medical"/>
    <n v="1"/>
    <n v="441"/>
    <x v="2"/>
    <s v="Female"/>
    <n v="64"/>
    <n v="3"/>
    <n v="2"/>
    <x v="1"/>
    <x v="0"/>
    <s v="Married"/>
    <n v="5775"/>
    <n v="11934"/>
    <n v="1"/>
    <s v="Y"/>
    <x v="1"/>
    <n v="13"/>
    <n v="3"/>
    <n v="4"/>
    <n v="80"/>
    <n v="2"/>
    <n v="11"/>
    <n v="2"/>
    <x v="1"/>
    <x v="1"/>
    <n v="8"/>
    <n v="1"/>
    <n v="9"/>
  </r>
  <r>
    <n v="31"/>
    <x v="1"/>
    <s v="Travel_Frequently"/>
    <n v="798"/>
    <x v="1"/>
    <n v="7"/>
    <n v="2"/>
    <s v="Life Sciences"/>
    <n v="1"/>
    <n v="442"/>
    <x v="1"/>
    <s v="Female"/>
    <n v="48"/>
    <n v="2"/>
    <n v="3"/>
    <x v="3"/>
    <x v="2"/>
    <s v="Married"/>
    <n v="8943"/>
    <n v="14034"/>
    <n v="1"/>
    <s v="Y"/>
    <x v="1"/>
    <n v="24"/>
    <n v="4"/>
    <n v="1"/>
    <n v="80"/>
    <n v="1"/>
    <n v="10"/>
    <n v="2"/>
    <x v="1"/>
    <x v="1"/>
    <n v="9"/>
    <n v="8"/>
    <n v="9"/>
  </r>
  <r>
    <n v="39"/>
    <x v="1"/>
    <s v="Travel_Frequently"/>
    <n v="672"/>
    <x v="1"/>
    <n v="7"/>
    <n v="2"/>
    <s v="Medical"/>
    <n v="1"/>
    <n v="444"/>
    <x v="1"/>
    <s v="Male"/>
    <n v="54"/>
    <n v="2"/>
    <n v="5"/>
    <x v="5"/>
    <x v="0"/>
    <s v="Married"/>
    <n v="19272"/>
    <n v="21141"/>
    <n v="1"/>
    <s v="Y"/>
    <x v="1"/>
    <n v="15"/>
    <n v="3"/>
    <n v="1"/>
    <n v="80"/>
    <n v="1"/>
    <n v="21"/>
    <n v="2"/>
    <x v="1"/>
    <x v="17"/>
    <n v="9"/>
    <n v="13"/>
    <n v="3"/>
  </r>
  <r>
    <n v="39"/>
    <x v="0"/>
    <s v="Travel_Rarely"/>
    <n v="1162"/>
    <x v="0"/>
    <n v="3"/>
    <n v="2"/>
    <s v="Medical"/>
    <n v="1"/>
    <n v="445"/>
    <x v="2"/>
    <s v="Female"/>
    <n v="41"/>
    <n v="3"/>
    <n v="2"/>
    <x v="0"/>
    <x v="2"/>
    <s v="Married"/>
    <n v="5238"/>
    <n v="17778"/>
    <n v="4"/>
    <s v="Y"/>
    <x v="0"/>
    <n v="18"/>
    <n v="3"/>
    <n v="1"/>
    <n v="80"/>
    <n v="0"/>
    <n v="12"/>
    <n v="3"/>
    <x v="2"/>
    <x v="6"/>
    <n v="0"/>
    <n v="0"/>
    <n v="0"/>
  </r>
  <r>
    <n v="33"/>
    <x v="1"/>
    <s v="Travel_Frequently"/>
    <n v="508"/>
    <x v="0"/>
    <n v="10"/>
    <n v="3"/>
    <s v="Marketing"/>
    <n v="1"/>
    <n v="446"/>
    <x v="0"/>
    <s v="Male"/>
    <n v="46"/>
    <n v="2"/>
    <n v="2"/>
    <x v="0"/>
    <x v="0"/>
    <s v="Single"/>
    <n v="4682"/>
    <n v="4317"/>
    <n v="3"/>
    <s v="Y"/>
    <x v="1"/>
    <n v="14"/>
    <n v="3"/>
    <n v="3"/>
    <n v="80"/>
    <n v="0"/>
    <n v="9"/>
    <n v="6"/>
    <x v="2"/>
    <x v="5"/>
    <n v="7"/>
    <n v="0"/>
    <n v="1"/>
  </r>
  <r>
    <n v="47"/>
    <x v="1"/>
    <s v="Travel_Rarely"/>
    <n v="1482"/>
    <x v="1"/>
    <n v="5"/>
    <n v="5"/>
    <s v="Life Sciences"/>
    <n v="1"/>
    <n v="447"/>
    <x v="2"/>
    <s v="Male"/>
    <n v="42"/>
    <n v="3"/>
    <n v="5"/>
    <x v="7"/>
    <x v="2"/>
    <s v="Married"/>
    <n v="18300"/>
    <n v="16375"/>
    <n v="4"/>
    <s v="Y"/>
    <x v="1"/>
    <n v="11"/>
    <n v="3"/>
    <n v="2"/>
    <n v="80"/>
    <n v="1"/>
    <n v="21"/>
    <n v="2"/>
    <x v="1"/>
    <x v="11"/>
    <n v="2"/>
    <n v="1"/>
    <n v="1"/>
  </r>
  <r>
    <n v="43"/>
    <x v="1"/>
    <s v="Travel_Frequently"/>
    <n v="559"/>
    <x v="1"/>
    <n v="10"/>
    <n v="4"/>
    <s v="Life Sciences"/>
    <n v="1"/>
    <n v="448"/>
    <x v="1"/>
    <s v="Female"/>
    <n v="82"/>
    <n v="2"/>
    <n v="2"/>
    <x v="2"/>
    <x v="2"/>
    <s v="Divorced"/>
    <n v="5257"/>
    <n v="6227"/>
    <n v="1"/>
    <s v="Y"/>
    <x v="1"/>
    <n v="11"/>
    <n v="3"/>
    <n v="2"/>
    <n v="80"/>
    <n v="1"/>
    <n v="9"/>
    <n v="3"/>
    <x v="3"/>
    <x v="7"/>
    <n v="7"/>
    <n v="0"/>
    <n v="0"/>
  </r>
  <r>
    <n v="27"/>
    <x v="1"/>
    <s v="Non-Travel"/>
    <n v="210"/>
    <x v="0"/>
    <n v="1"/>
    <n v="1"/>
    <s v="Marketing"/>
    <n v="1"/>
    <n v="449"/>
    <x v="1"/>
    <s v="Male"/>
    <n v="73"/>
    <n v="3"/>
    <n v="2"/>
    <x v="0"/>
    <x v="1"/>
    <s v="Married"/>
    <n v="6349"/>
    <n v="22107"/>
    <n v="0"/>
    <s v="Y"/>
    <x v="0"/>
    <n v="13"/>
    <n v="3"/>
    <n v="4"/>
    <n v="80"/>
    <n v="1"/>
    <n v="6"/>
    <n v="0"/>
    <x v="1"/>
    <x v="8"/>
    <n v="4"/>
    <n v="1"/>
    <n v="4"/>
  </r>
  <r>
    <n v="54"/>
    <x v="1"/>
    <s v="Travel_Frequently"/>
    <n v="928"/>
    <x v="1"/>
    <n v="20"/>
    <n v="4"/>
    <s v="Life Sciences"/>
    <n v="1"/>
    <n v="450"/>
    <x v="2"/>
    <s v="Female"/>
    <n v="31"/>
    <n v="3"/>
    <n v="2"/>
    <x v="1"/>
    <x v="2"/>
    <s v="Single"/>
    <n v="4869"/>
    <n v="16885"/>
    <n v="3"/>
    <s v="Y"/>
    <x v="1"/>
    <n v="12"/>
    <n v="3"/>
    <n v="4"/>
    <n v="80"/>
    <n v="0"/>
    <n v="20"/>
    <n v="4"/>
    <x v="2"/>
    <x v="9"/>
    <n v="3"/>
    <n v="0"/>
    <n v="3"/>
  </r>
  <r>
    <n v="43"/>
    <x v="1"/>
    <s v="Travel_Rarely"/>
    <n v="1001"/>
    <x v="1"/>
    <n v="7"/>
    <n v="3"/>
    <s v="Life Sciences"/>
    <n v="1"/>
    <n v="451"/>
    <x v="1"/>
    <s v="Female"/>
    <n v="43"/>
    <n v="3"/>
    <n v="3"/>
    <x v="4"/>
    <x v="3"/>
    <s v="Married"/>
    <n v="9985"/>
    <n v="9262"/>
    <n v="8"/>
    <s v="Y"/>
    <x v="1"/>
    <n v="16"/>
    <n v="3"/>
    <n v="1"/>
    <n v="80"/>
    <n v="1"/>
    <n v="10"/>
    <n v="1"/>
    <x v="2"/>
    <x v="6"/>
    <n v="0"/>
    <n v="0"/>
    <n v="0"/>
  </r>
  <r>
    <n v="45"/>
    <x v="1"/>
    <s v="Travel_Rarely"/>
    <n v="549"/>
    <x v="1"/>
    <n v="8"/>
    <n v="4"/>
    <s v="Other"/>
    <n v="1"/>
    <n v="452"/>
    <x v="2"/>
    <s v="Male"/>
    <n v="75"/>
    <n v="3"/>
    <n v="2"/>
    <x v="1"/>
    <x v="0"/>
    <s v="Married"/>
    <n v="3697"/>
    <n v="9278"/>
    <n v="9"/>
    <s v="Y"/>
    <x v="1"/>
    <n v="14"/>
    <n v="3"/>
    <n v="1"/>
    <n v="80"/>
    <n v="2"/>
    <n v="12"/>
    <n v="3"/>
    <x v="1"/>
    <x v="1"/>
    <n v="9"/>
    <n v="9"/>
    <n v="8"/>
  </r>
  <r>
    <n v="40"/>
    <x v="1"/>
    <s v="Travel_Rarely"/>
    <n v="1124"/>
    <x v="0"/>
    <n v="1"/>
    <n v="2"/>
    <s v="Medical"/>
    <n v="1"/>
    <n v="453"/>
    <x v="0"/>
    <s v="Male"/>
    <n v="57"/>
    <n v="1"/>
    <n v="2"/>
    <x v="0"/>
    <x v="0"/>
    <s v="Married"/>
    <n v="7457"/>
    <n v="13273"/>
    <n v="2"/>
    <s v="Y"/>
    <x v="0"/>
    <n v="22"/>
    <n v="4"/>
    <n v="3"/>
    <n v="80"/>
    <n v="3"/>
    <n v="6"/>
    <n v="2"/>
    <x v="2"/>
    <x v="9"/>
    <n v="3"/>
    <n v="0"/>
    <n v="2"/>
  </r>
  <r>
    <n v="29"/>
    <x v="0"/>
    <s v="Travel_Rarely"/>
    <n v="318"/>
    <x v="1"/>
    <n v="8"/>
    <n v="4"/>
    <s v="Other"/>
    <n v="1"/>
    <n v="454"/>
    <x v="0"/>
    <s v="Male"/>
    <n v="77"/>
    <n v="1"/>
    <n v="1"/>
    <x v="2"/>
    <x v="3"/>
    <s v="Married"/>
    <n v="2119"/>
    <n v="4759"/>
    <n v="1"/>
    <s v="Y"/>
    <x v="0"/>
    <n v="11"/>
    <n v="3"/>
    <n v="4"/>
    <n v="80"/>
    <n v="0"/>
    <n v="7"/>
    <n v="4"/>
    <x v="2"/>
    <x v="5"/>
    <n v="7"/>
    <n v="0"/>
    <n v="7"/>
  </r>
  <r>
    <n v="29"/>
    <x v="1"/>
    <s v="Travel_Rarely"/>
    <n v="738"/>
    <x v="1"/>
    <n v="9"/>
    <n v="5"/>
    <s v="Other"/>
    <n v="1"/>
    <n v="455"/>
    <x v="0"/>
    <s v="Male"/>
    <n v="30"/>
    <n v="2"/>
    <n v="1"/>
    <x v="2"/>
    <x v="0"/>
    <s v="Single"/>
    <n v="3983"/>
    <n v="7621"/>
    <n v="0"/>
    <s v="Y"/>
    <x v="1"/>
    <n v="17"/>
    <n v="3"/>
    <n v="3"/>
    <n v="80"/>
    <n v="0"/>
    <n v="4"/>
    <n v="2"/>
    <x v="1"/>
    <x v="11"/>
    <n v="2"/>
    <n v="2"/>
    <n v="2"/>
  </r>
  <r>
    <n v="30"/>
    <x v="1"/>
    <s v="Travel_Rarely"/>
    <n v="570"/>
    <x v="0"/>
    <n v="5"/>
    <n v="3"/>
    <s v="Marketing"/>
    <n v="1"/>
    <n v="456"/>
    <x v="2"/>
    <s v="Female"/>
    <n v="30"/>
    <n v="2"/>
    <n v="2"/>
    <x v="0"/>
    <x v="2"/>
    <s v="Divorced"/>
    <n v="6118"/>
    <n v="5431"/>
    <n v="1"/>
    <s v="Y"/>
    <x v="1"/>
    <n v="13"/>
    <n v="3"/>
    <n v="3"/>
    <n v="80"/>
    <n v="3"/>
    <n v="10"/>
    <n v="2"/>
    <x v="1"/>
    <x v="1"/>
    <n v="9"/>
    <n v="1"/>
    <n v="2"/>
  </r>
  <r>
    <n v="27"/>
    <x v="1"/>
    <s v="Travel_Rarely"/>
    <n v="1130"/>
    <x v="0"/>
    <n v="8"/>
    <n v="4"/>
    <s v="Marketing"/>
    <n v="1"/>
    <n v="458"/>
    <x v="0"/>
    <s v="Female"/>
    <n v="56"/>
    <n v="3"/>
    <n v="2"/>
    <x v="0"/>
    <x v="1"/>
    <s v="Married"/>
    <n v="6214"/>
    <n v="3415"/>
    <n v="1"/>
    <s v="Y"/>
    <x v="1"/>
    <n v="18"/>
    <n v="3"/>
    <n v="1"/>
    <n v="80"/>
    <n v="1"/>
    <n v="8"/>
    <n v="3"/>
    <x v="1"/>
    <x v="3"/>
    <n v="7"/>
    <n v="0"/>
    <n v="7"/>
  </r>
  <r>
    <n v="37"/>
    <x v="1"/>
    <s v="Travel_Rarely"/>
    <n v="1192"/>
    <x v="1"/>
    <n v="5"/>
    <n v="2"/>
    <s v="Medical"/>
    <n v="1"/>
    <n v="460"/>
    <x v="2"/>
    <s v="Male"/>
    <n v="61"/>
    <n v="3"/>
    <n v="2"/>
    <x v="3"/>
    <x v="0"/>
    <s v="Divorced"/>
    <n v="6347"/>
    <n v="23177"/>
    <n v="7"/>
    <s v="Y"/>
    <x v="1"/>
    <n v="16"/>
    <n v="3"/>
    <n v="3"/>
    <n v="80"/>
    <n v="2"/>
    <n v="8"/>
    <n v="2"/>
    <x v="2"/>
    <x v="0"/>
    <n v="2"/>
    <n v="0"/>
    <n v="4"/>
  </r>
  <r>
    <n v="38"/>
    <x v="1"/>
    <s v="Travel_Rarely"/>
    <n v="343"/>
    <x v="1"/>
    <n v="15"/>
    <n v="2"/>
    <s v="Life Sciences"/>
    <n v="1"/>
    <n v="461"/>
    <x v="1"/>
    <s v="Male"/>
    <n v="92"/>
    <n v="2"/>
    <n v="3"/>
    <x v="7"/>
    <x v="0"/>
    <s v="Divorced"/>
    <n v="11510"/>
    <n v="15682"/>
    <n v="0"/>
    <s v="Y"/>
    <x v="0"/>
    <n v="14"/>
    <n v="3"/>
    <n v="2"/>
    <n v="80"/>
    <n v="1"/>
    <n v="12"/>
    <n v="3"/>
    <x v="1"/>
    <x v="19"/>
    <n v="10"/>
    <n v="2"/>
    <n v="9"/>
  </r>
  <r>
    <n v="31"/>
    <x v="1"/>
    <s v="Travel_Rarely"/>
    <n v="1232"/>
    <x v="1"/>
    <n v="7"/>
    <n v="4"/>
    <s v="Medical"/>
    <n v="1"/>
    <n v="462"/>
    <x v="1"/>
    <s v="Female"/>
    <n v="39"/>
    <n v="3"/>
    <n v="3"/>
    <x v="3"/>
    <x v="0"/>
    <s v="Single"/>
    <n v="7143"/>
    <n v="25713"/>
    <n v="1"/>
    <s v="Y"/>
    <x v="0"/>
    <n v="14"/>
    <n v="3"/>
    <n v="3"/>
    <n v="80"/>
    <n v="0"/>
    <n v="11"/>
    <n v="2"/>
    <x v="2"/>
    <x v="19"/>
    <n v="9"/>
    <n v="4"/>
    <n v="10"/>
  </r>
  <r>
    <n v="29"/>
    <x v="1"/>
    <s v="Travel_Rarely"/>
    <n v="144"/>
    <x v="0"/>
    <n v="10"/>
    <n v="1"/>
    <s v="Marketing"/>
    <n v="1"/>
    <n v="463"/>
    <x v="2"/>
    <s v="Female"/>
    <n v="39"/>
    <n v="2"/>
    <n v="2"/>
    <x v="0"/>
    <x v="1"/>
    <s v="Divorced"/>
    <n v="8268"/>
    <n v="11866"/>
    <n v="1"/>
    <s v="Y"/>
    <x v="0"/>
    <n v="14"/>
    <n v="3"/>
    <n v="1"/>
    <n v="80"/>
    <n v="2"/>
    <n v="7"/>
    <n v="2"/>
    <x v="1"/>
    <x v="5"/>
    <n v="7"/>
    <n v="1"/>
    <n v="7"/>
  </r>
  <r>
    <n v="35"/>
    <x v="1"/>
    <s v="Travel_Rarely"/>
    <n v="1296"/>
    <x v="1"/>
    <n v="5"/>
    <n v="4"/>
    <s v="Technical Degree"/>
    <n v="1"/>
    <n v="464"/>
    <x v="1"/>
    <s v="Male"/>
    <n v="62"/>
    <n v="3"/>
    <n v="3"/>
    <x v="3"/>
    <x v="1"/>
    <s v="Single"/>
    <n v="8095"/>
    <n v="18264"/>
    <n v="0"/>
    <s v="Y"/>
    <x v="1"/>
    <n v="13"/>
    <n v="3"/>
    <n v="4"/>
    <n v="80"/>
    <n v="0"/>
    <n v="17"/>
    <n v="5"/>
    <x v="1"/>
    <x v="22"/>
    <n v="6"/>
    <n v="0"/>
    <n v="13"/>
  </r>
  <r>
    <n v="23"/>
    <x v="1"/>
    <s v="Travel_Rarely"/>
    <n v="1309"/>
    <x v="1"/>
    <n v="26"/>
    <n v="1"/>
    <s v="Life Sciences"/>
    <n v="1"/>
    <n v="465"/>
    <x v="1"/>
    <s v="Male"/>
    <n v="83"/>
    <n v="3"/>
    <n v="1"/>
    <x v="1"/>
    <x v="0"/>
    <s v="Divorced"/>
    <n v="2904"/>
    <n v="16092"/>
    <n v="1"/>
    <s v="Y"/>
    <x v="1"/>
    <n v="12"/>
    <n v="3"/>
    <n v="3"/>
    <n v="80"/>
    <n v="2"/>
    <n v="4"/>
    <n v="2"/>
    <x v="2"/>
    <x v="9"/>
    <n v="2"/>
    <n v="0"/>
    <n v="2"/>
  </r>
  <r>
    <n v="41"/>
    <x v="1"/>
    <s v="Travel_Rarely"/>
    <n v="483"/>
    <x v="1"/>
    <n v="6"/>
    <n v="3"/>
    <s v="Medical"/>
    <n v="1"/>
    <n v="466"/>
    <x v="2"/>
    <s v="Male"/>
    <n v="95"/>
    <n v="2"/>
    <n v="2"/>
    <x v="3"/>
    <x v="1"/>
    <s v="Single"/>
    <n v="6032"/>
    <n v="10110"/>
    <n v="6"/>
    <s v="Y"/>
    <x v="0"/>
    <n v="15"/>
    <n v="3"/>
    <n v="4"/>
    <n v="80"/>
    <n v="0"/>
    <n v="8"/>
    <n v="3"/>
    <x v="1"/>
    <x v="8"/>
    <n v="4"/>
    <n v="1"/>
    <n v="2"/>
  </r>
  <r>
    <n v="47"/>
    <x v="1"/>
    <s v="Travel_Frequently"/>
    <n v="1309"/>
    <x v="0"/>
    <n v="4"/>
    <n v="1"/>
    <s v="Medical"/>
    <n v="1"/>
    <n v="467"/>
    <x v="0"/>
    <s v="Male"/>
    <n v="99"/>
    <n v="3"/>
    <n v="2"/>
    <x v="6"/>
    <x v="2"/>
    <s v="Single"/>
    <n v="2976"/>
    <n v="25751"/>
    <n v="3"/>
    <s v="Y"/>
    <x v="1"/>
    <n v="19"/>
    <n v="3"/>
    <n v="1"/>
    <n v="80"/>
    <n v="0"/>
    <n v="5"/>
    <n v="3"/>
    <x v="1"/>
    <x v="2"/>
    <n v="0"/>
    <n v="0"/>
    <n v="0"/>
  </r>
  <r>
    <n v="42"/>
    <x v="1"/>
    <s v="Travel_Rarely"/>
    <n v="810"/>
    <x v="1"/>
    <n v="23"/>
    <n v="5"/>
    <s v="Life Sciences"/>
    <n v="1"/>
    <n v="468"/>
    <x v="3"/>
    <s v="Female"/>
    <n v="44"/>
    <n v="3"/>
    <n v="4"/>
    <x v="7"/>
    <x v="0"/>
    <s v="Single"/>
    <n v="15992"/>
    <n v="15901"/>
    <n v="2"/>
    <s v="Y"/>
    <x v="1"/>
    <n v="14"/>
    <n v="3"/>
    <n v="2"/>
    <n v="80"/>
    <n v="0"/>
    <n v="16"/>
    <n v="2"/>
    <x v="1"/>
    <x v="6"/>
    <n v="0"/>
    <n v="0"/>
    <n v="0"/>
  </r>
  <r>
    <n v="29"/>
    <x v="1"/>
    <s v="Non-Travel"/>
    <n v="746"/>
    <x v="0"/>
    <n v="2"/>
    <n v="3"/>
    <s v="Life Sciences"/>
    <n v="1"/>
    <n v="469"/>
    <x v="2"/>
    <s v="Male"/>
    <n v="61"/>
    <n v="3"/>
    <n v="2"/>
    <x v="0"/>
    <x v="2"/>
    <s v="Married"/>
    <n v="4649"/>
    <n v="16928"/>
    <n v="1"/>
    <s v="Y"/>
    <x v="1"/>
    <n v="14"/>
    <n v="3"/>
    <n v="1"/>
    <n v="80"/>
    <n v="1"/>
    <n v="4"/>
    <n v="3"/>
    <x v="2"/>
    <x v="9"/>
    <n v="3"/>
    <n v="0"/>
    <n v="2"/>
  </r>
  <r>
    <n v="42"/>
    <x v="1"/>
    <s v="Travel_Rarely"/>
    <n v="544"/>
    <x v="2"/>
    <n v="2"/>
    <n v="1"/>
    <s v="Technical Degree"/>
    <n v="1"/>
    <n v="470"/>
    <x v="1"/>
    <s v="Male"/>
    <n v="52"/>
    <n v="3"/>
    <n v="1"/>
    <x v="8"/>
    <x v="2"/>
    <s v="Divorced"/>
    <n v="2696"/>
    <n v="24017"/>
    <n v="0"/>
    <s v="Y"/>
    <x v="0"/>
    <n v="11"/>
    <n v="3"/>
    <n v="3"/>
    <n v="80"/>
    <n v="1"/>
    <n v="4"/>
    <n v="5"/>
    <x v="1"/>
    <x v="11"/>
    <n v="2"/>
    <n v="1"/>
    <n v="0"/>
  </r>
  <r>
    <n v="32"/>
    <x v="1"/>
    <s v="Travel_Rarely"/>
    <n v="1062"/>
    <x v="1"/>
    <n v="2"/>
    <n v="3"/>
    <s v="Medical"/>
    <n v="1"/>
    <n v="471"/>
    <x v="1"/>
    <s v="Female"/>
    <n v="75"/>
    <n v="3"/>
    <n v="1"/>
    <x v="2"/>
    <x v="1"/>
    <s v="Married"/>
    <n v="2370"/>
    <n v="3956"/>
    <n v="1"/>
    <s v="Y"/>
    <x v="1"/>
    <n v="13"/>
    <n v="3"/>
    <n v="3"/>
    <n v="80"/>
    <n v="1"/>
    <n v="8"/>
    <n v="4"/>
    <x v="1"/>
    <x v="3"/>
    <n v="0"/>
    <n v="0"/>
    <n v="7"/>
  </r>
  <r>
    <n v="48"/>
    <x v="1"/>
    <s v="Travel_Rarely"/>
    <n v="530"/>
    <x v="0"/>
    <n v="29"/>
    <n v="1"/>
    <s v="Medical"/>
    <n v="1"/>
    <n v="473"/>
    <x v="3"/>
    <s v="Female"/>
    <n v="91"/>
    <n v="3"/>
    <n v="3"/>
    <x v="5"/>
    <x v="2"/>
    <s v="Married"/>
    <n v="12504"/>
    <n v="23978"/>
    <n v="3"/>
    <s v="Y"/>
    <x v="1"/>
    <n v="21"/>
    <n v="4"/>
    <n v="2"/>
    <n v="80"/>
    <n v="1"/>
    <n v="15"/>
    <n v="3"/>
    <x v="0"/>
    <x v="2"/>
    <n v="0"/>
    <n v="0"/>
    <n v="0"/>
  </r>
  <r>
    <n v="37"/>
    <x v="1"/>
    <s v="Travel_Rarely"/>
    <n v="1319"/>
    <x v="1"/>
    <n v="6"/>
    <n v="3"/>
    <s v="Medical"/>
    <n v="1"/>
    <n v="474"/>
    <x v="1"/>
    <s v="Male"/>
    <n v="51"/>
    <n v="4"/>
    <n v="2"/>
    <x v="1"/>
    <x v="3"/>
    <s v="Divorced"/>
    <n v="5974"/>
    <n v="17001"/>
    <n v="4"/>
    <s v="Y"/>
    <x v="0"/>
    <n v="13"/>
    <n v="3"/>
    <n v="1"/>
    <n v="80"/>
    <n v="2"/>
    <n v="13"/>
    <n v="2"/>
    <x v="1"/>
    <x v="5"/>
    <n v="7"/>
    <n v="6"/>
    <n v="7"/>
  </r>
  <r>
    <n v="30"/>
    <x v="1"/>
    <s v="Non-Travel"/>
    <n v="641"/>
    <x v="0"/>
    <n v="25"/>
    <n v="2"/>
    <s v="Technical Degree"/>
    <n v="1"/>
    <n v="475"/>
    <x v="2"/>
    <s v="Female"/>
    <n v="85"/>
    <n v="3"/>
    <n v="2"/>
    <x v="0"/>
    <x v="2"/>
    <s v="Married"/>
    <n v="4736"/>
    <n v="6069"/>
    <n v="7"/>
    <s v="Y"/>
    <x v="0"/>
    <n v="12"/>
    <n v="3"/>
    <n v="2"/>
    <n v="80"/>
    <n v="1"/>
    <n v="4"/>
    <n v="2"/>
    <x v="3"/>
    <x v="4"/>
    <n v="2"/>
    <n v="2"/>
    <n v="2"/>
  </r>
  <r>
    <n v="26"/>
    <x v="1"/>
    <s v="Travel_Rarely"/>
    <n v="933"/>
    <x v="0"/>
    <n v="1"/>
    <n v="3"/>
    <s v="Life Sciences"/>
    <n v="1"/>
    <n v="476"/>
    <x v="1"/>
    <s v="Male"/>
    <n v="57"/>
    <n v="3"/>
    <n v="2"/>
    <x v="0"/>
    <x v="2"/>
    <s v="Married"/>
    <n v="5296"/>
    <n v="20156"/>
    <n v="1"/>
    <s v="Y"/>
    <x v="1"/>
    <n v="17"/>
    <n v="3"/>
    <n v="2"/>
    <n v="80"/>
    <n v="1"/>
    <n v="8"/>
    <n v="3"/>
    <x v="1"/>
    <x v="3"/>
    <n v="7"/>
    <n v="7"/>
    <n v="7"/>
  </r>
  <r>
    <n v="42"/>
    <x v="1"/>
    <s v="Travel_Rarely"/>
    <n v="1332"/>
    <x v="1"/>
    <n v="2"/>
    <n v="4"/>
    <s v="Other"/>
    <n v="1"/>
    <n v="477"/>
    <x v="3"/>
    <s v="Male"/>
    <n v="98"/>
    <n v="2"/>
    <n v="2"/>
    <x v="4"/>
    <x v="0"/>
    <s v="Single"/>
    <n v="6781"/>
    <n v="17078"/>
    <n v="3"/>
    <s v="Y"/>
    <x v="1"/>
    <n v="23"/>
    <n v="4"/>
    <n v="2"/>
    <n v="80"/>
    <n v="0"/>
    <n v="14"/>
    <n v="6"/>
    <x v="1"/>
    <x v="6"/>
    <n v="0"/>
    <n v="0"/>
    <n v="0"/>
  </r>
  <r>
    <n v="21"/>
    <x v="0"/>
    <s v="Travel_Frequently"/>
    <n v="756"/>
    <x v="0"/>
    <n v="1"/>
    <n v="1"/>
    <s v="Technical Degree"/>
    <n v="1"/>
    <n v="478"/>
    <x v="3"/>
    <s v="Female"/>
    <n v="99"/>
    <n v="2"/>
    <n v="1"/>
    <x v="6"/>
    <x v="1"/>
    <s v="Single"/>
    <n v="2174"/>
    <n v="9150"/>
    <n v="1"/>
    <s v="Y"/>
    <x v="0"/>
    <n v="11"/>
    <n v="3"/>
    <n v="3"/>
    <n v="80"/>
    <n v="0"/>
    <n v="3"/>
    <n v="3"/>
    <x v="1"/>
    <x v="11"/>
    <n v="2"/>
    <n v="1"/>
    <n v="2"/>
  </r>
  <r>
    <n v="36"/>
    <x v="1"/>
    <s v="Non-Travel"/>
    <n v="845"/>
    <x v="0"/>
    <n v="1"/>
    <n v="5"/>
    <s v="Medical"/>
    <n v="1"/>
    <n v="479"/>
    <x v="2"/>
    <s v="Female"/>
    <n v="45"/>
    <n v="3"/>
    <n v="2"/>
    <x v="0"/>
    <x v="0"/>
    <s v="Single"/>
    <n v="6653"/>
    <n v="15276"/>
    <n v="4"/>
    <s v="Y"/>
    <x v="1"/>
    <n v="15"/>
    <n v="3"/>
    <n v="2"/>
    <n v="80"/>
    <n v="0"/>
    <n v="7"/>
    <n v="6"/>
    <x v="1"/>
    <x v="6"/>
    <n v="0"/>
    <n v="0"/>
    <n v="0"/>
  </r>
  <r>
    <n v="36"/>
    <x v="1"/>
    <s v="Travel_Frequently"/>
    <n v="541"/>
    <x v="0"/>
    <n v="3"/>
    <n v="4"/>
    <s v="Medical"/>
    <n v="1"/>
    <n v="481"/>
    <x v="3"/>
    <s v="Male"/>
    <n v="48"/>
    <n v="2"/>
    <n v="3"/>
    <x v="0"/>
    <x v="0"/>
    <s v="Married"/>
    <n v="9699"/>
    <n v="7246"/>
    <n v="4"/>
    <s v="Y"/>
    <x v="1"/>
    <n v="11"/>
    <n v="3"/>
    <n v="1"/>
    <n v="80"/>
    <n v="1"/>
    <n v="16"/>
    <n v="2"/>
    <x v="1"/>
    <x v="20"/>
    <n v="9"/>
    <n v="1"/>
    <n v="12"/>
  </r>
  <r>
    <n v="57"/>
    <x v="1"/>
    <s v="Travel_Rarely"/>
    <n v="593"/>
    <x v="1"/>
    <n v="1"/>
    <n v="4"/>
    <s v="Medical"/>
    <n v="1"/>
    <n v="482"/>
    <x v="2"/>
    <s v="Male"/>
    <n v="88"/>
    <n v="3"/>
    <n v="2"/>
    <x v="4"/>
    <x v="2"/>
    <s v="Married"/>
    <n v="6755"/>
    <n v="2967"/>
    <n v="2"/>
    <s v="Y"/>
    <x v="1"/>
    <n v="11"/>
    <n v="3"/>
    <n v="3"/>
    <n v="80"/>
    <n v="0"/>
    <n v="15"/>
    <n v="2"/>
    <x v="1"/>
    <x v="11"/>
    <n v="2"/>
    <n v="1"/>
    <n v="2"/>
  </r>
  <r>
    <n v="40"/>
    <x v="1"/>
    <s v="Travel_Rarely"/>
    <n v="1171"/>
    <x v="1"/>
    <n v="10"/>
    <n v="4"/>
    <s v="Life Sciences"/>
    <n v="1"/>
    <n v="483"/>
    <x v="2"/>
    <s v="Female"/>
    <n v="46"/>
    <n v="4"/>
    <n v="1"/>
    <x v="2"/>
    <x v="2"/>
    <s v="Married"/>
    <n v="2213"/>
    <n v="22495"/>
    <n v="3"/>
    <s v="Y"/>
    <x v="0"/>
    <n v="13"/>
    <n v="3"/>
    <n v="3"/>
    <n v="80"/>
    <n v="1"/>
    <n v="10"/>
    <n v="3"/>
    <x v="1"/>
    <x v="5"/>
    <n v="7"/>
    <n v="1"/>
    <n v="7"/>
  </r>
  <r>
    <n v="21"/>
    <x v="1"/>
    <s v="Non-Travel"/>
    <n v="895"/>
    <x v="0"/>
    <n v="9"/>
    <n v="2"/>
    <s v="Medical"/>
    <n v="1"/>
    <n v="484"/>
    <x v="3"/>
    <s v="Male"/>
    <n v="39"/>
    <n v="3"/>
    <n v="1"/>
    <x v="6"/>
    <x v="0"/>
    <s v="Single"/>
    <n v="2610"/>
    <n v="2851"/>
    <n v="1"/>
    <s v="Y"/>
    <x v="1"/>
    <n v="24"/>
    <n v="4"/>
    <n v="3"/>
    <n v="80"/>
    <n v="0"/>
    <n v="3"/>
    <n v="3"/>
    <x v="2"/>
    <x v="11"/>
    <n v="2"/>
    <n v="2"/>
    <n v="2"/>
  </r>
  <r>
    <n v="33"/>
    <x v="0"/>
    <s v="Travel_Rarely"/>
    <n v="350"/>
    <x v="0"/>
    <n v="5"/>
    <n v="3"/>
    <s v="Marketing"/>
    <n v="1"/>
    <n v="485"/>
    <x v="2"/>
    <s v="Female"/>
    <n v="34"/>
    <n v="3"/>
    <n v="1"/>
    <x v="6"/>
    <x v="2"/>
    <s v="Single"/>
    <n v="2851"/>
    <n v="9150"/>
    <n v="1"/>
    <s v="Y"/>
    <x v="0"/>
    <n v="13"/>
    <n v="3"/>
    <n v="2"/>
    <n v="80"/>
    <n v="0"/>
    <n v="1"/>
    <n v="2"/>
    <x v="1"/>
    <x v="6"/>
    <n v="0"/>
    <n v="0"/>
    <n v="0"/>
  </r>
  <r>
    <n v="37"/>
    <x v="1"/>
    <s v="Travel_Rarely"/>
    <n v="921"/>
    <x v="1"/>
    <n v="10"/>
    <n v="3"/>
    <s v="Medical"/>
    <n v="1"/>
    <n v="486"/>
    <x v="1"/>
    <s v="Female"/>
    <n v="98"/>
    <n v="3"/>
    <n v="1"/>
    <x v="2"/>
    <x v="3"/>
    <s v="Married"/>
    <n v="3452"/>
    <n v="17663"/>
    <n v="6"/>
    <s v="Y"/>
    <x v="1"/>
    <n v="20"/>
    <n v="4"/>
    <n v="2"/>
    <n v="80"/>
    <n v="1"/>
    <n v="17"/>
    <n v="3"/>
    <x v="1"/>
    <x v="8"/>
    <n v="4"/>
    <n v="0"/>
    <n v="3"/>
  </r>
  <r>
    <n v="46"/>
    <x v="1"/>
    <s v="Non-Travel"/>
    <n v="1144"/>
    <x v="1"/>
    <n v="7"/>
    <n v="4"/>
    <s v="Medical"/>
    <n v="1"/>
    <n v="487"/>
    <x v="1"/>
    <s v="Female"/>
    <n v="30"/>
    <n v="3"/>
    <n v="2"/>
    <x v="3"/>
    <x v="2"/>
    <s v="Married"/>
    <n v="5258"/>
    <n v="16044"/>
    <n v="2"/>
    <s v="Y"/>
    <x v="1"/>
    <n v="14"/>
    <n v="3"/>
    <n v="3"/>
    <n v="80"/>
    <n v="0"/>
    <n v="7"/>
    <n v="2"/>
    <x v="3"/>
    <x v="6"/>
    <n v="0"/>
    <n v="0"/>
    <n v="0"/>
  </r>
  <r>
    <n v="41"/>
    <x v="0"/>
    <s v="Travel_Frequently"/>
    <n v="143"/>
    <x v="0"/>
    <n v="4"/>
    <n v="3"/>
    <s v="Marketing"/>
    <n v="1"/>
    <n v="488"/>
    <x v="3"/>
    <s v="Male"/>
    <n v="56"/>
    <n v="3"/>
    <n v="2"/>
    <x v="0"/>
    <x v="1"/>
    <s v="Single"/>
    <n v="9355"/>
    <n v="9558"/>
    <n v="1"/>
    <s v="Y"/>
    <x v="1"/>
    <n v="18"/>
    <n v="3"/>
    <n v="3"/>
    <n v="80"/>
    <n v="0"/>
    <n v="8"/>
    <n v="5"/>
    <x v="1"/>
    <x v="3"/>
    <n v="7"/>
    <n v="7"/>
    <n v="7"/>
  </r>
  <r>
    <n v="50"/>
    <x v="1"/>
    <s v="Travel_Rarely"/>
    <n v="1046"/>
    <x v="1"/>
    <n v="10"/>
    <n v="3"/>
    <s v="Technical Degree"/>
    <n v="1"/>
    <n v="491"/>
    <x v="2"/>
    <s v="Male"/>
    <n v="100"/>
    <n v="2"/>
    <n v="3"/>
    <x v="4"/>
    <x v="0"/>
    <s v="Single"/>
    <n v="10496"/>
    <n v="2755"/>
    <n v="6"/>
    <s v="Y"/>
    <x v="1"/>
    <n v="15"/>
    <n v="3"/>
    <n v="4"/>
    <n v="80"/>
    <n v="0"/>
    <n v="20"/>
    <n v="2"/>
    <x v="1"/>
    <x v="9"/>
    <n v="3"/>
    <n v="1"/>
    <n v="3"/>
  </r>
  <r>
    <n v="40"/>
    <x v="0"/>
    <s v="Travel_Rarely"/>
    <n v="575"/>
    <x v="0"/>
    <n v="22"/>
    <n v="2"/>
    <s v="Marketing"/>
    <n v="1"/>
    <n v="492"/>
    <x v="1"/>
    <s v="Male"/>
    <n v="68"/>
    <n v="2"/>
    <n v="2"/>
    <x v="0"/>
    <x v="2"/>
    <s v="Married"/>
    <n v="6380"/>
    <n v="6110"/>
    <n v="2"/>
    <s v="Y"/>
    <x v="0"/>
    <n v="12"/>
    <n v="3"/>
    <n v="1"/>
    <n v="80"/>
    <n v="2"/>
    <n v="8"/>
    <n v="6"/>
    <x v="1"/>
    <x v="0"/>
    <n v="4"/>
    <n v="1"/>
    <n v="0"/>
  </r>
  <r>
    <n v="31"/>
    <x v="1"/>
    <s v="Travel_Rarely"/>
    <n v="408"/>
    <x v="1"/>
    <n v="9"/>
    <n v="4"/>
    <s v="Life Sciences"/>
    <n v="1"/>
    <n v="493"/>
    <x v="1"/>
    <s v="Male"/>
    <n v="42"/>
    <n v="2"/>
    <n v="1"/>
    <x v="1"/>
    <x v="1"/>
    <s v="Single"/>
    <n v="2657"/>
    <n v="7551"/>
    <n v="0"/>
    <s v="Y"/>
    <x v="0"/>
    <n v="16"/>
    <n v="3"/>
    <n v="4"/>
    <n v="80"/>
    <n v="0"/>
    <n v="3"/>
    <n v="5"/>
    <x v="1"/>
    <x v="4"/>
    <n v="2"/>
    <n v="2"/>
    <n v="2"/>
  </r>
  <r>
    <n v="21"/>
    <x v="0"/>
    <s v="Travel_Rarely"/>
    <n v="156"/>
    <x v="0"/>
    <n v="12"/>
    <n v="3"/>
    <s v="Life Sciences"/>
    <n v="1"/>
    <n v="494"/>
    <x v="1"/>
    <s v="Female"/>
    <n v="90"/>
    <n v="4"/>
    <n v="1"/>
    <x v="6"/>
    <x v="1"/>
    <s v="Single"/>
    <n v="2716"/>
    <n v="25422"/>
    <n v="1"/>
    <s v="Y"/>
    <x v="1"/>
    <n v="15"/>
    <n v="3"/>
    <n v="4"/>
    <n v="80"/>
    <n v="0"/>
    <n v="1"/>
    <n v="0"/>
    <x v="1"/>
    <x v="6"/>
    <n v="0"/>
    <n v="0"/>
    <n v="0"/>
  </r>
  <r>
    <n v="29"/>
    <x v="1"/>
    <s v="Travel_Rarely"/>
    <n v="1283"/>
    <x v="1"/>
    <n v="23"/>
    <n v="3"/>
    <s v="Life Sciences"/>
    <n v="1"/>
    <n v="495"/>
    <x v="2"/>
    <s v="Male"/>
    <n v="54"/>
    <n v="3"/>
    <n v="1"/>
    <x v="1"/>
    <x v="0"/>
    <s v="Single"/>
    <n v="2201"/>
    <n v="18168"/>
    <n v="9"/>
    <s v="Y"/>
    <x v="1"/>
    <n v="16"/>
    <n v="3"/>
    <n v="4"/>
    <n v="80"/>
    <n v="0"/>
    <n v="6"/>
    <n v="4"/>
    <x v="1"/>
    <x v="11"/>
    <n v="2"/>
    <n v="1"/>
    <n v="2"/>
  </r>
  <r>
    <n v="35"/>
    <x v="1"/>
    <s v="Travel_Rarely"/>
    <n v="755"/>
    <x v="1"/>
    <n v="9"/>
    <n v="4"/>
    <s v="Life Sciences"/>
    <n v="1"/>
    <n v="496"/>
    <x v="1"/>
    <s v="Male"/>
    <n v="97"/>
    <n v="2"/>
    <n v="2"/>
    <x v="4"/>
    <x v="1"/>
    <s v="Single"/>
    <n v="6540"/>
    <n v="19394"/>
    <n v="9"/>
    <s v="Y"/>
    <x v="1"/>
    <n v="19"/>
    <n v="3"/>
    <n v="3"/>
    <n v="80"/>
    <n v="0"/>
    <n v="10"/>
    <n v="5"/>
    <x v="1"/>
    <x v="6"/>
    <n v="1"/>
    <n v="0"/>
    <n v="0"/>
  </r>
  <r>
    <n v="27"/>
    <x v="1"/>
    <s v="Travel_Rarely"/>
    <n v="1469"/>
    <x v="1"/>
    <n v="1"/>
    <n v="2"/>
    <s v="Medical"/>
    <n v="1"/>
    <n v="497"/>
    <x v="2"/>
    <s v="Male"/>
    <n v="82"/>
    <n v="3"/>
    <n v="1"/>
    <x v="2"/>
    <x v="1"/>
    <s v="Divorced"/>
    <n v="3816"/>
    <n v="17881"/>
    <n v="1"/>
    <s v="Y"/>
    <x v="1"/>
    <n v="11"/>
    <n v="3"/>
    <n v="2"/>
    <n v="80"/>
    <n v="1"/>
    <n v="5"/>
    <n v="2"/>
    <x v="1"/>
    <x v="8"/>
    <n v="2"/>
    <n v="0"/>
    <n v="4"/>
  </r>
  <r>
    <n v="28"/>
    <x v="1"/>
    <s v="Travel_Rarely"/>
    <n v="304"/>
    <x v="0"/>
    <n v="9"/>
    <n v="4"/>
    <s v="Life Sciences"/>
    <n v="1"/>
    <n v="498"/>
    <x v="0"/>
    <s v="Male"/>
    <n v="92"/>
    <n v="3"/>
    <n v="2"/>
    <x v="0"/>
    <x v="0"/>
    <s v="Single"/>
    <n v="5253"/>
    <n v="20750"/>
    <n v="1"/>
    <s v="Y"/>
    <x v="1"/>
    <n v="16"/>
    <n v="3"/>
    <n v="4"/>
    <n v="80"/>
    <n v="0"/>
    <n v="7"/>
    <n v="1"/>
    <x v="1"/>
    <x v="5"/>
    <n v="5"/>
    <n v="0"/>
    <n v="7"/>
  </r>
  <r>
    <n v="49"/>
    <x v="1"/>
    <s v="Travel_Rarely"/>
    <n v="1261"/>
    <x v="1"/>
    <n v="7"/>
    <n v="3"/>
    <s v="Other"/>
    <n v="1"/>
    <n v="499"/>
    <x v="0"/>
    <s v="Male"/>
    <n v="31"/>
    <n v="2"/>
    <n v="3"/>
    <x v="4"/>
    <x v="2"/>
    <s v="Single"/>
    <n v="10965"/>
    <n v="12066"/>
    <n v="8"/>
    <s v="Y"/>
    <x v="1"/>
    <n v="24"/>
    <n v="4"/>
    <n v="3"/>
    <n v="80"/>
    <n v="0"/>
    <n v="26"/>
    <n v="2"/>
    <x v="1"/>
    <x v="8"/>
    <n v="2"/>
    <n v="0"/>
    <n v="0"/>
  </r>
  <r>
    <n v="51"/>
    <x v="1"/>
    <s v="Travel_Rarely"/>
    <n v="1178"/>
    <x v="0"/>
    <n v="14"/>
    <n v="2"/>
    <s v="Life Sciences"/>
    <n v="1"/>
    <n v="500"/>
    <x v="1"/>
    <s v="Female"/>
    <n v="87"/>
    <n v="3"/>
    <n v="2"/>
    <x v="0"/>
    <x v="0"/>
    <s v="Married"/>
    <n v="4936"/>
    <n v="14862"/>
    <n v="4"/>
    <s v="Y"/>
    <x v="1"/>
    <n v="11"/>
    <n v="3"/>
    <n v="3"/>
    <n v="80"/>
    <n v="1"/>
    <n v="18"/>
    <n v="2"/>
    <x v="2"/>
    <x v="5"/>
    <n v="7"/>
    <n v="0"/>
    <n v="7"/>
  </r>
  <r>
    <n v="36"/>
    <x v="1"/>
    <s v="Travel_Rarely"/>
    <n v="329"/>
    <x v="1"/>
    <n v="2"/>
    <n v="3"/>
    <s v="Life Sciences"/>
    <n v="1"/>
    <n v="501"/>
    <x v="2"/>
    <s v="Female"/>
    <n v="96"/>
    <n v="3"/>
    <n v="1"/>
    <x v="1"/>
    <x v="2"/>
    <s v="Married"/>
    <n v="2543"/>
    <n v="11868"/>
    <n v="4"/>
    <s v="Y"/>
    <x v="1"/>
    <n v="13"/>
    <n v="3"/>
    <n v="2"/>
    <n v="80"/>
    <n v="1"/>
    <n v="6"/>
    <n v="3"/>
    <x v="1"/>
    <x v="4"/>
    <n v="2"/>
    <n v="2"/>
    <n v="2"/>
  </r>
  <r>
    <n v="34"/>
    <x v="0"/>
    <s v="Non-Travel"/>
    <n v="1362"/>
    <x v="0"/>
    <n v="19"/>
    <n v="3"/>
    <s v="Marketing"/>
    <n v="1"/>
    <n v="502"/>
    <x v="3"/>
    <s v="Male"/>
    <n v="67"/>
    <n v="4"/>
    <n v="2"/>
    <x v="0"/>
    <x v="0"/>
    <s v="Single"/>
    <n v="5304"/>
    <n v="4652"/>
    <n v="8"/>
    <s v="Y"/>
    <x v="0"/>
    <n v="13"/>
    <n v="3"/>
    <n v="2"/>
    <n v="80"/>
    <n v="0"/>
    <n v="9"/>
    <n v="3"/>
    <x v="2"/>
    <x v="8"/>
    <n v="2"/>
    <n v="0"/>
    <n v="4"/>
  </r>
  <r>
    <n v="55"/>
    <x v="1"/>
    <s v="Travel_Rarely"/>
    <n v="1311"/>
    <x v="1"/>
    <n v="2"/>
    <n v="3"/>
    <s v="Life Sciences"/>
    <n v="1"/>
    <n v="505"/>
    <x v="1"/>
    <s v="Female"/>
    <n v="97"/>
    <n v="3"/>
    <n v="4"/>
    <x v="5"/>
    <x v="0"/>
    <s v="Single"/>
    <n v="16659"/>
    <n v="23258"/>
    <n v="2"/>
    <s v="Y"/>
    <x v="0"/>
    <n v="13"/>
    <n v="3"/>
    <n v="3"/>
    <n v="80"/>
    <n v="0"/>
    <n v="30"/>
    <n v="2"/>
    <x v="1"/>
    <x v="8"/>
    <n v="4"/>
    <n v="1"/>
    <n v="2"/>
  </r>
  <r>
    <n v="24"/>
    <x v="1"/>
    <s v="Travel_Rarely"/>
    <n v="1371"/>
    <x v="0"/>
    <n v="10"/>
    <n v="4"/>
    <s v="Marketing"/>
    <n v="1"/>
    <n v="507"/>
    <x v="2"/>
    <s v="Female"/>
    <n v="77"/>
    <n v="3"/>
    <n v="2"/>
    <x v="0"/>
    <x v="2"/>
    <s v="Divorced"/>
    <n v="4260"/>
    <n v="5915"/>
    <n v="1"/>
    <s v="Y"/>
    <x v="0"/>
    <n v="12"/>
    <n v="3"/>
    <n v="4"/>
    <n v="80"/>
    <n v="1"/>
    <n v="5"/>
    <n v="2"/>
    <x v="3"/>
    <x v="8"/>
    <n v="2"/>
    <n v="0"/>
    <n v="3"/>
  </r>
  <r>
    <n v="30"/>
    <x v="1"/>
    <s v="Travel_Rarely"/>
    <n v="202"/>
    <x v="0"/>
    <n v="2"/>
    <n v="1"/>
    <s v="Technical Degree"/>
    <n v="1"/>
    <n v="508"/>
    <x v="1"/>
    <s v="Male"/>
    <n v="72"/>
    <n v="3"/>
    <n v="1"/>
    <x v="6"/>
    <x v="1"/>
    <s v="Married"/>
    <n v="2476"/>
    <n v="17434"/>
    <n v="1"/>
    <s v="Y"/>
    <x v="1"/>
    <n v="18"/>
    <n v="3"/>
    <n v="1"/>
    <n v="80"/>
    <n v="1"/>
    <n v="1"/>
    <n v="3"/>
    <x v="1"/>
    <x v="6"/>
    <n v="0"/>
    <n v="0"/>
    <n v="0"/>
  </r>
  <r>
    <n v="26"/>
    <x v="0"/>
    <s v="Travel_Frequently"/>
    <n v="575"/>
    <x v="1"/>
    <n v="3"/>
    <n v="1"/>
    <s v="Technical Degree"/>
    <n v="1"/>
    <n v="510"/>
    <x v="1"/>
    <s v="Male"/>
    <n v="73"/>
    <n v="3"/>
    <n v="1"/>
    <x v="1"/>
    <x v="3"/>
    <s v="Single"/>
    <n v="3102"/>
    <n v="6582"/>
    <n v="0"/>
    <s v="Y"/>
    <x v="1"/>
    <n v="22"/>
    <n v="4"/>
    <n v="3"/>
    <n v="80"/>
    <n v="0"/>
    <n v="7"/>
    <n v="2"/>
    <x v="1"/>
    <x v="0"/>
    <n v="4"/>
    <n v="0"/>
    <n v="4"/>
  </r>
  <r>
    <n v="22"/>
    <x v="1"/>
    <s v="Travel_Rarely"/>
    <n v="253"/>
    <x v="1"/>
    <n v="11"/>
    <n v="3"/>
    <s v="Medical"/>
    <n v="1"/>
    <n v="511"/>
    <x v="3"/>
    <s v="Female"/>
    <n v="43"/>
    <n v="3"/>
    <n v="1"/>
    <x v="1"/>
    <x v="1"/>
    <s v="Married"/>
    <n v="2244"/>
    <n v="24440"/>
    <n v="1"/>
    <s v="Y"/>
    <x v="1"/>
    <n v="13"/>
    <n v="3"/>
    <n v="4"/>
    <n v="80"/>
    <n v="1"/>
    <n v="2"/>
    <n v="1"/>
    <x v="1"/>
    <x v="4"/>
    <n v="1"/>
    <n v="1"/>
    <n v="2"/>
  </r>
  <r>
    <n v="36"/>
    <x v="1"/>
    <s v="Travel_Rarely"/>
    <n v="164"/>
    <x v="0"/>
    <n v="2"/>
    <n v="2"/>
    <s v="Medical"/>
    <n v="1"/>
    <n v="513"/>
    <x v="0"/>
    <s v="Male"/>
    <n v="61"/>
    <n v="2"/>
    <n v="3"/>
    <x v="0"/>
    <x v="2"/>
    <s v="Married"/>
    <n v="7596"/>
    <n v="3809"/>
    <n v="1"/>
    <s v="Y"/>
    <x v="1"/>
    <n v="13"/>
    <n v="3"/>
    <n v="2"/>
    <n v="80"/>
    <n v="2"/>
    <n v="10"/>
    <n v="2"/>
    <x v="1"/>
    <x v="1"/>
    <n v="9"/>
    <n v="9"/>
    <n v="0"/>
  </r>
  <r>
    <n v="30"/>
    <x v="0"/>
    <s v="Travel_Frequently"/>
    <n v="464"/>
    <x v="1"/>
    <n v="4"/>
    <n v="3"/>
    <s v="Technical Degree"/>
    <n v="1"/>
    <n v="514"/>
    <x v="1"/>
    <s v="Male"/>
    <n v="40"/>
    <n v="3"/>
    <n v="1"/>
    <x v="1"/>
    <x v="0"/>
    <s v="Single"/>
    <n v="2285"/>
    <n v="3427"/>
    <n v="9"/>
    <s v="Y"/>
    <x v="0"/>
    <n v="23"/>
    <n v="4"/>
    <n v="3"/>
    <n v="80"/>
    <n v="0"/>
    <n v="3"/>
    <n v="4"/>
    <x v="1"/>
    <x v="6"/>
    <n v="0"/>
    <n v="0"/>
    <n v="0"/>
  </r>
  <r>
    <n v="37"/>
    <x v="1"/>
    <s v="Travel_Rarely"/>
    <n v="1107"/>
    <x v="1"/>
    <n v="14"/>
    <n v="3"/>
    <s v="Life Sciences"/>
    <n v="1"/>
    <n v="515"/>
    <x v="2"/>
    <s v="Female"/>
    <n v="95"/>
    <n v="3"/>
    <n v="1"/>
    <x v="2"/>
    <x v="3"/>
    <s v="Divorced"/>
    <n v="3034"/>
    <n v="26914"/>
    <n v="1"/>
    <s v="Y"/>
    <x v="1"/>
    <n v="12"/>
    <n v="3"/>
    <n v="3"/>
    <n v="80"/>
    <n v="1"/>
    <n v="18"/>
    <n v="2"/>
    <x v="2"/>
    <x v="29"/>
    <n v="7"/>
    <n v="12"/>
    <n v="17"/>
  </r>
  <r>
    <n v="40"/>
    <x v="1"/>
    <s v="Travel_Rarely"/>
    <n v="759"/>
    <x v="0"/>
    <n v="2"/>
    <n v="2"/>
    <s v="Marketing"/>
    <n v="1"/>
    <n v="516"/>
    <x v="2"/>
    <s v="Female"/>
    <n v="46"/>
    <n v="3"/>
    <n v="2"/>
    <x v="0"/>
    <x v="1"/>
    <s v="Divorced"/>
    <n v="5715"/>
    <n v="22553"/>
    <n v="7"/>
    <s v="Y"/>
    <x v="1"/>
    <n v="12"/>
    <n v="3"/>
    <n v="3"/>
    <n v="80"/>
    <n v="2"/>
    <n v="8"/>
    <n v="5"/>
    <x v="1"/>
    <x v="8"/>
    <n v="4"/>
    <n v="1"/>
    <n v="3"/>
  </r>
  <r>
    <n v="42"/>
    <x v="1"/>
    <s v="Travel_Rarely"/>
    <n v="201"/>
    <x v="1"/>
    <n v="1"/>
    <n v="4"/>
    <s v="Life Sciences"/>
    <n v="1"/>
    <n v="517"/>
    <x v="0"/>
    <s v="Female"/>
    <n v="95"/>
    <n v="3"/>
    <n v="1"/>
    <x v="2"/>
    <x v="3"/>
    <s v="Divorced"/>
    <n v="2576"/>
    <n v="20490"/>
    <n v="3"/>
    <s v="Y"/>
    <x v="1"/>
    <n v="16"/>
    <n v="3"/>
    <n v="2"/>
    <n v="80"/>
    <n v="1"/>
    <n v="8"/>
    <n v="5"/>
    <x v="1"/>
    <x v="8"/>
    <n v="2"/>
    <n v="1"/>
    <n v="2"/>
  </r>
  <r>
    <n v="37"/>
    <x v="1"/>
    <s v="Travel_Rarely"/>
    <n v="1305"/>
    <x v="1"/>
    <n v="10"/>
    <n v="4"/>
    <s v="Life Sciences"/>
    <n v="1"/>
    <n v="518"/>
    <x v="1"/>
    <s v="Male"/>
    <n v="49"/>
    <n v="3"/>
    <n v="2"/>
    <x v="3"/>
    <x v="1"/>
    <s v="Single"/>
    <n v="4197"/>
    <n v="21123"/>
    <n v="2"/>
    <s v="Y"/>
    <x v="0"/>
    <n v="12"/>
    <n v="3"/>
    <n v="4"/>
    <n v="80"/>
    <n v="0"/>
    <n v="18"/>
    <n v="2"/>
    <x v="2"/>
    <x v="6"/>
    <n v="0"/>
    <n v="0"/>
    <n v="1"/>
  </r>
  <r>
    <n v="43"/>
    <x v="1"/>
    <s v="Travel_Rarely"/>
    <n v="982"/>
    <x v="1"/>
    <n v="12"/>
    <n v="3"/>
    <s v="Life Sciences"/>
    <n v="1"/>
    <n v="520"/>
    <x v="3"/>
    <s v="Male"/>
    <n v="59"/>
    <n v="2"/>
    <n v="4"/>
    <x v="7"/>
    <x v="1"/>
    <s v="Divorced"/>
    <n v="14336"/>
    <n v="4345"/>
    <n v="1"/>
    <s v="Y"/>
    <x v="1"/>
    <n v="11"/>
    <n v="3"/>
    <n v="3"/>
    <n v="80"/>
    <n v="1"/>
    <n v="25"/>
    <n v="3"/>
    <x v="1"/>
    <x v="10"/>
    <n v="10"/>
    <n v="3"/>
    <n v="9"/>
  </r>
  <r>
    <n v="40"/>
    <x v="1"/>
    <s v="Travel_Rarely"/>
    <n v="555"/>
    <x v="1"/>
    <n v="2"/>
    <n v="3"/>
    <s v="Medical"/>
    <n v="1"/>
    <n v="521"/>
    <x v="0"/>
    <s v="Female"/>
    <n v="78"/>
    <n v="2"/>
    <n v="2"/>
    <x v="2"/>
    <x v="2"/>
    <s v="Married"/>
    <n v="3448"/>
    <n v="13436"/>
    <n v="6"/>
    <s v="Y"/>
    <x v="1"/>
    <n v="22"/>
    <n v="4"/>
    <n v="2"/>
    <n v="80"/>
    <n v="1"/>
    <n v="20"/>
    <n v="3"/>
    <x v="1"/>
    <x v="6"/>
    <n v="0"/>
    <n v="0"/>
    <n v="0"/>
  </r>
  <r>
    <n v="54"/>
    <x v="1"/>
    <s v="Travel_Rarely"/>
    <n v="821"/>
    <x v="1"/>
    <n v="5"/>
    <n v="2"/>
    <s v="Medical"/>
    <n v="1"/>
    <n v="522"/>
    <x v="3"/>
    <s v="Male"/>
    <n v="86"/>
    <n v="3"/>
    <n v="5"/>
    <x v="7"/>
    <x v="3"/>
    <s v="Married"/>
    <n v="19406"/>
    <n v="8509"/>
    <n v="4"/>
    <s v="Y"/>
    <x v="1"/>
    <n v="11"/>
    <n v="3"/>
    <n v="3"/>
    <n v="80"/>
    <n v="1"/>
    <n v="24"/>
    <n v="4"/>
    <x v="2"/>
    <x v="9"/>
    <n v="2"/>
    <n v="1"/>
    <n v="2"/>
  </r>
  <r>
    <n v="34"/>
    <x v="1"/>
    <s v="Non-Travel"/>
    <n v="1381"/>
    <x v="0"/>
    <n v="4"/>
    <n v="4"/>
    <s v="Marketing"/>
    <n v="1"/>
    <n v="523"/>
    <x v="1"/>
    <s v="Female"/>
    <n v="72"/>
    <n v="3"/>
    <n v="2"/>
    <x v="0"/>
    <x v="2"/>
    <s v="Married"/>
    <n v="6538"/>
    <n v="12740"/>
    <n v="9"/>
    <s v="Y"/>
    <x v="1"/>
    <n v="15"/>
    <n v="3"/>
    <n v="1"/>
    <n v="80"/>
    <n v="1"/>
    <n v="6"/>
    <n v="3"/>
    <x v="1"/>
    <x v="11"/>
    <n v="2"/>
    <n v="1"/>
    <n v="2"/>
  </r>
  <r>
    <n v="31"/>
    <x v="1"/>
    <s v="Travel_Rarely"/>
    <n v="480"/>
    <x v="1"/>
    <n v="7"/>
    <n v="2"/>
    <s v="Medical"/>
    <n v="1"/>
    <n v="524"/>
    <x v="0"/>
    <s v="Female"/>
    <n v="31"/>
    <n v="3"/>
    <n v="2"/>
    <x v="3"/>
    <x v="3"/>
    <s v="Married"/>
    <n v="4306"/>
    <n v="4156"/>
    <n v="1"/>
    <s v="Y"/>
    <x v="1"/>
    <n v="12"/>
    <n v="3"/>
    <n v="2"/>
    <n v="80"/>
    <n v="1"/>
    <n v="13"/>
    <n v="5"/>
    <x v="0"/>
    <x v="20"/>
    <n v="10"/>
    <n v="3"/>
    <n v="12"/>
  </r>
  <r>
    <n v="43"/>
    <x v="1"/>
    <s v="Travel_Frequently"/>
    <n v="313"/>
    <x v="1"/>
    <n v="21"/>
    <n v="3"/>
    <s v="Medical"/>
    <n v="1"/>
    <n v="525"/>
    <x v="2"/>
    <s v="Male"/>
    <n v="61"/>
    <n v="3"/>
    <n v="1"/>
    <x v="2"/>
    <x v="0"/>
    <s v="Married"/>
    <n v="2258"/>
    <n v="15238"/>
    <n v="7"/>
    <s v="Y"/>
    <x v="1"/>
    <n v="20"/>
    <n v="4"/>
    <n v="1"/>
    <n v="80"/>
    <n v="1"/>
    <n v="8"/>
    <n v="1"/>
    <x v="1"/>
    <x v="11"/>
    <n v="2"/>
    <n v="1"/>
    <n v="2"/>
  </r>
  <r>
    <n v="43"/>
    <x v="1"/>
    <s v="Travel_Rarely"/>
    <n v="1473"/>
    <x v="1"/>
    <n v="8"/>
    <n v="4"/>
    <s v="Other"/>
    <n v="1"/>
    <n v="526"/>
    <x v="1"/>
    <s v="Female"/>
    <n v="74"/>
    <n v="3"/>
    <n v="2"/>
    <x v="4"/>
    <x v="2"/>
    <s v="Divorced"/>
    <n v="4522"/>
    <n v="2227"/>
    <n v="4"/>
    <s v="Y"/>
    <x v="0"/>
    <n v="14"/>
    <n v="3"/>
    <n v="4"/>
    <n v="80"/>
    <n v="0"/>
    <n v="8"/>
    <n v="3"/>
    <x v="1"/>
    <x v="8"/>
    <n v="2"/>
    <n v="0"/>
    <n v="2"/>
  </r>
  <r>
    <n v="25"/>
    <x v="1"/>
    <s v="Travel_Rarely"/>
    <n v="891"/>
    <x v="0"/>
    <n v="4"/>
    <n v="2"/>
    <s v="Life Sciences"/>
    <n v="1"/>
    <n v="527"/>
    <x v="0"/>
    <s v="Female"/>
    <n v="99"/>
    <n v="2"/>
    <n v="2"/>
    <x v="0"/>
    <x v="0"/>
    <s v="Single"/>
    <n v="4487"/>
    <n v="12090"/>
    <n v="1"/>
    <s v="Y"/>
    <x v="0"/>
    <n v="11"/>
    <n v="3"/>
    <n v="2"/>
    <n v="80"/>
    <n v="0"/>
    <n v="5"/>
    <n v="3"/>
    <x v="1"/>
    <x v="8"/>
    <n v="4"/>
    <n v="1"/>
    <n v="3"/>
  </r>
  <r>
    <n v="37"/>
    <x v="1"/>
    <s v="Non-Travel"/>
    <n v="1063"/>
    <x v="1"/>
    <n v="25"/>
    <n v="5"/>
    <s v="Medical"/>
    <n v="1"/>
    <n v="529"/>
    <x v="0"/>
    <s v="Female"/>
    <n v="72"/>
    <n v="3"/>
    <n v="2"/>
    <x v="1"/>
    <x v="2"/>
    <s v="Married"/>
    <n v="4449"/>
    <n v="23866"/>
    <n v="3"/>
    <s v="Y"/>
    <x v="0"/>
    <n v="15"/>
    <n v="3"/>
    <n v="1"/>
    <n v="80"/>
    <n v="2"/>
    <n v="15"/>
    <n v="2"/>
    <x v="1"/>
    <x v="20"/>
    <n v="11"/>
    <n v="10"/>
    <n v="7"/>
  </r>
  <r>
    <n v="31"/>
    <x v="1"/>
    <s v="Travel_Rarely"/>
    <n v="329"/>
    <x v="1"/>
    <n v="1"/>
    <n v="2"/>
    <s v="Life Sciences"/>
    <n v="1"/>
    <n v="530"/>
    <x v="2"/>
    <s v="Male"/>
    <n v="98"/>
    <n v="2"/>
    <n v="1"/>
    <x v="2"/>
    <x v="3"/>
    <s v="Married"/>
    <n v="2218"/>
    <n v="16193"/>
    <n v="1"/>
    <s v="Y"/>
    <x v="1"/>
    <n v="12"/>
    <n v="3"/>
    <n v="3"/>
    <n v="80"/>
    <n v="1"/>
    <n v="4"/>
    <n v="3"/>
    <x v="1"/>
    <x v="9"/>
    <n v="2"/>
    <n v="3"/>
    <n v="2"/>
  </r>
  <r>
    <n v="39"/>
    <x v="1"/>
    <s v="Travel_Frequently"/>
    <n v="1218"/>
    <x v="1"/>
    <n v="1"/>
    <n v="1"/>
    <s v="Life Sciences"/>
    <n v="1"/>
    <n v="531"/>
    <x v="0"/>
    <s v="Male"/>
    <n v="52"/>
    <n v="3"/>
    <n v="5"/>
    <x v="5"/>
    <x v="2"/>
    <s v="Divorced"/>
    <n v="19197"/>
    <n v="8213"/>
    <n v="1"/>
    <s v="Y"/>
    <x v="0"/>
    <n v="14"/>
    <n v="3"/>
    <n v="3"/>
    <n v="80"/>
    <n v="1"/>
    <n v="21"/>
    <n v="3"/>
    <x v="1"/>
    <x v="17"/>
    <n v="8"/>
    <n v="1"/>
    <n v="6"/>
  </r>
  <r>
    <n v="56"/>
    <x v="1"/>
    <s v="Travel_Frequently"/>
    <n v="906"/>
    <x v="0"/>
    <n v="6"/>
    <n v="3"/>
    <s v="Life Sciences"/>
    <n v="1"/>
    <n v="532"/>
    <x v="1"/>
    <s v="Female"/>
    <n v="86"/>
    <n v="4"/>
    <n v="4"/>
    <x v="0"/>
    <x v="3"/>
    <s v="Married"/>
    <n v="13212"/>
    <n v="18256"/>
    <n v="9"/>
    <s v="Y"/>
    <x v="1"/>
    <n v="11"/>
    <n v="3"/>
    <n v="4"/>
    <n v="80"/>
    <n v="3"/>
    <n v="36"/>
    <n v="0"/>
    <x v="2"/>
    <x v="5"/>
    <n v="7"/>
    <n v="7"/>
    <n v="7"/>
  </r>
  <r>
    <n v="30"/>
    <x v="1"/>
    <s v="Travel_Rarely"/>
    <n v="1082"/>
    <x v="0"/>
    <n v="12"/>
    <n v="3"/>
    <s v="Technical Degree"/>
    <n v="1"/>
    <n v="533"/>
    <x v="0"/>
    <s v="Female"/>
    <n v="83"/>
    <n v="3"/>
    <n v="2"/>
    <x v="0"/>
    <x v="2"/>
    <s v="Single"/>
    <n v="6577"/>
    <n v="19558"/>
    <n v="0"/>
    <s v="Y"/>
    <x v="1"/>
    <n v="11"/>
    <n v="3"/>
    <n v="2"/>
    <n v="80"/>
    <n v="0"/>
    <n v="6"/>
    <n v="6"/>
    <x v="1"/>
    <x v="8"/>
    <n v="4"/>
    <n v="4"/>
    <n v="4"/>
  </r>
  <r>
    <n v="41"/>
    <x v="1"/>
    <s v="Travel_Rarely"/>
    <n v="645"/>
    <x v="0"/>
    <n v="1"/>
    <n v="3"/>
    <s v="Marketing"/>
    <n v="1"/>
    <n v="534"/>
    <x v="0"/>
    <s v="Male"/>
    <n v="49"/>
    <n v="4"/>
    <n v="3"/>
    <x v="0"/>
    <x v="3"/>
    <s v="Married"/>
    <n v="8392"/>
    <n v="19566"/>
    <n v="1"/>
    <s v="Y"/>
    <x v="1"/>
    <n v="16"/>
    <n v="3"/>
    <n v="3"/>
    <n v="80"/>
    <n v="1"/>
    <n v="10"/>
    <n v="2"/>
    <x v="1"/>
    <x v="1"/>
    <n v="7"/>
    <n v="0"/>
    <n v="7"/>
  </r>
  <r>
    <n v="28"/>
    <x v="1"/>
    <s v="Travel_Rarely"/>
    <n v="1300"/>
    <x v="1"/>
    <n v="17"/>
    <n v="2"/>
    <s v="Medical"/>
    <n v="1"/>
    <n v="536"/>
    <x v="1"/>
    <s v="Male"/>
    <n v="79"/>
    <n v="3"/>
    <n v="2"/>
    <x v="2"/>
    <x v="3"/>
    <s v="Divorced"/>
    <n v="4558"/>
    <n v="13535"/>
    <n v="1"/>
    <s v="Y"/>
    <x v="1"/>
    <n v="12"/>
    <n v="3"/>
    <n v="4"/>
    <n v="80"/>
    <n v="1"/>
    <n v="10"/>
    <n v="2"/>
    <x v="1"/>
    <x v="1"/>
    <n v="0"/>
    <n v="1"/>
    <n v="8"/>
  </r>
  <r>
    <n v="25"/>
    <x v="0"/>
    <s v="Travel_Rarely"/>
    <n v="688"/>
    <x v="1"/>
    <n v="3"/>
    <n v="3"/>
    <s v="Medical"/>
    <n v="1"/>
    <n v="538"/>
    <x v="3"/>
    <s v="Male"/>
    <n v="91"/>
    <n v="3"/>
    <n v="1"/>
    <x v="2"/>
    <x v="3"/>
    <s v="Married"/>
    <n v="4031"/>
    <n v="9396"/>
    <n v="5"/>
    <s v="Y"/>
    <x v="1"/>
    <n v="13"/>
    <n v="3"/>
    <n v="3"/>
    <n v="80"/>
    <n v="1"/>
    <n v="6"/>
    <n v="5"/>
    <x v="1"/>
    <x v="4"/>
    <n v="2"/>
    <n v="0"/>
    <n v="2"/>
  </r>
  <r>
    <n v="52"/>
    <x v="1"/>
    <s v="Travel_Rarely"/>
    <n v="319"/>
    <x v="1"/>
    <n v="3"/>
    <n v="3"/>
    <s v="Medical"/>
    <n v="1"/>
    <n v="543"/>
    <x v="2"/>
    <s v="Male"/>
    <n v="39"/>
    <n v="2"/>
    <n v="3"/>
    <x v="3"/>
    <x v="2"/>
    <s v="Married"/>
    <n v="7969"/>
    <n v="19609"/>
    <n v="2"/>
    <s v="Y"/>
    <x v="0"/>
    <n v="14"/>
    <n v="3"/>
    <n v="3"/>
    <n v="80"/>
    <n v="0"/>
    <n v="28"/>
    <n v="4"/>
    <x v="1"/>
    <x v="8"/>
    <n v="4"/>
    <n v="0"/>
    <n v="4"/>
  </r>
  <r>
    <n v="45"/>
    <x v="1"/>
    <s v="Travel_Rarely"/>
    <n v="192"/>
    <x v="1"/>
    <n v="10"/>
    <n v="2"/>
    <s v="Life Sciences"/>
    <n v="1"/>
    <n v="544"/>
    <x v="3"/>
    <s v="Male"/>
    <n v="69"/>
    <n v="3"/>
    <n v="1"/>
    <x v="1"/>
    <x v="0"/>
    <s v="Married"/>
    <n v="2654"/>
    <n v="9655"/>
    <n v="3"/>
    <s v="Y"/>
    <x v="1"/>
    <n v="21"/>
    <n v="4"/>
    <n v="4"/>
    <n v="80"/>
    <n v="2"/>
    <n v="8"/>
    <n v="3"/>
    <x v="2"/>
    <x v="4"/>
    <n v="2"/>
    <n v="0"/>
    <n v="2"/>
  </r>
  <r>
    <n v="52"/>
    <x v="1"/>
    <s v="Travel_Rarely"/>
    <n v="1490"/>
    <x v="1"/>
    <n v="4"/>
    <n v="2"/>
    <s v="Life Sciences"/>
    <n v="1"/>
    <n v="546"/>
    <x v="2"/>
    <s v="Female"/>
    <n v="30"/>
    <n v="3"/>
    <n v="4"/>
    <x v="5"/>
    <x v="0"/>
    <s v="Married"/>
    <n v="16555"/>
    <n v="10310"/>
    <n v="2"/>
    <s v="Y"/>
    <x v="1"/>
    <n v="13"/>
    <n v="3"/>
    <n v="4"/>
    <n v="80"/>
    <n v="0"/>
    <n v="31"/>
    <n v="2"/>
    <x v="0"/>
    <x v="8"/>
    <n v="2"/>
    <n v="1"/>
    <n v="4"/>
  </r>
  <r>
    <n v="42"/>
    <x v="1"/>
    <s v="Travel_Frequently"/>
    <n v="532"/>
    <x v="1"/>
    <n v="29"/>
    <n v="2"/>
    <s v="Life Sciences"/>
    <n v="1"/>
    <n v="547"/>
    <x v="3"/>
    <s v="Female"/>
    <n v="92"/>
    <n v="3"/>
    <n v="2"/>
    <x v="1"/>
    <x v="2"/>
    <s v="Divorced"/>
    <n v="4556"/>
    <n v="12932"/>
    <n v="2"/>
    <s v="Y"/>
    <x v="1"/>
    <n v="11"/>
    <n v="3"/>
    <n v="2"/>
    <n v="80"/>
    <n v="1"/>
    <n v="19"/>
    <n v="3"/>
    <x v="1"/>
    <x v="8"/>
    <n v="4"/>
    <n v="0"/>
    <n v="2"/>
  </r>
  <r>
    <n v="30"/>
    <x v="1"/>
    <s v="Travel_Rarely"/>
    <n v="317"/>
    <x v="1"/>
    <n v="2"/>
    <n v="3"/>
    <s v="Life Sciences"/>
    <n v="1"/>
    <n v="548"/>
    <x v="1"/>
    <s v="Female"/>
    <n v="43"/>
    <n v="1"/>
    <n v="2"/>
    <x v="3"/>
    <x v="0"/>
    <s v="Single"/>
    <n v="6091"/>
    <n v="24793"/>
    <n v="2"/>
    <s v="Y"/>
    <x v="1"/>
    <n v="20"/>
    <n v="4"/>
    <n v="3"/>
    <n v="80"/>
    <n v="0"/>
    <n v="11"/>
    <n v="2"/>
    <x v="1"/>
    <x v="8"/>
    <n v="4"/>
    <n v="0"/>
    <n v="2"/>
  </r>
  <r>
    <n v="60"/>
    <x v="1"/>
    <s v="Travel_Rarely"/>
    <n v="422"/>
    <x v="1"/>
    <n v="7"/>
    <n v="3"/>
    <s v="Life Sciences"/>
    <n v="1"/>
    <n v="549"/>
    <x v="3"/>
    <s v="Female"/>
    <n v="41"/>
    <n v="3"/>
    <n v="5"/>
    <x v="5"/>
    <x v="3"/>
    <s v="Married"/>
    <n v="19566"/>
    <n v="3854"/>
    <n v="5"/>
    <s v="Y"/>
    <x v="1"/>
    <n v="11"/>
    <n v="3"/>
    <n v="4"/>
    <n v="80"/>
    <n v="0"/>
    <n v="33"/>
    <n v="5"/>
    <x v="0"/>
    <x v="30"/>
    <n v="8"/>
    <n v="11"/>
    <n v="10"/>
  </r>
  <r>
    <n v="46"/>
    <x v="1"/>
    <s v="Travel_Rarely"/>
    <n v="1485"/>
    <x v="1"/>
    <n v="18"/>
    <n v="3"/>
    <s v="Medical"/>
    <n v="1"/>
    <n v="550"/>
    <x v="1"/>
    <s v="Female"/>
    <n v="87"/>
    <n v="3"/>
    <n v="2"/>
    <x v="3"/>
    <x v="2"/>
    <s v="Divorced"/>
    <n v="4810"/>
    <n v="26314"/>
    <n v="2"/>
    <s v="Y"/>
    <x v="1"/>
    <n v="14"/>
    <n v="3"/>
    <n v="3"/>
    <n v="80"/>
    <n v="1"/>
    <n v="19"/>
    <n v="5"/>
    <x v="2"/>
    <x v="1"/>
    <n v="7"/>
    <n v="0"/>
    <n v="8"/>
  </r>
  <r>
    <n v="42"/>
    <x v="1"/>
    <s v="Travel_Frequently"/>
    <n v="1368"/>
    <x v="1"/>
    <n v="28"/>
    <n v="4"/>
    <s v="Technical Degree"/>
    <n v="1"/>
    <n v="551"/>
    <x v="2"/>
    <s v="Female"/>
    <n v="88"/>
    <n v="2"/>
    <n v="2"/>
    <x v="4"/>
    <x v="0"/>
    <s v="Married"/>
    <n v="4523"/>
    <n v="4386"/>
    <n v="0"/>
    <s v="Y"/>
    <x v="1"/>
    <n v="11"/>
    <n v="3"/>
    <n v="4"/>
    <n v="80"/>
    <n v="3"/>
    <n v="7"/>
    <n v="4"/>
    <x v="3"/>
    <x v="0"/>
    <n v="5"/>
    <n v="0"/>
    <n v="4"/>
  </r>
  <r>
    <n v="24"/>
    <x v="0"/>
    <s v="Travel_Rarely"/>
    <n v="1448"/>
    <x v="0"/>
    <n v="1"/>
    <n v="1"/>
    <s v="Technical Degree"/>
    <n v="1"/>
    <n v="554"/>
    <x v="3"/>
    <s v="Female"/>
    <n v="62"/>
    <n v="3"/>
    <n v="1"/>
    <x v="6"/>
    <x v="1"/>
    <s v="Single"/>
    <n v="3202"/>
    <n v="21972"/>
    <n v="1"/>
    <s v="Y"/>
    <x v="0"/>
    <n v="16"/>
    <n v="3"/>
    <n v="2"/>
    <n v="80"/>
    <n v="0"/>
    <n v="6"/>
    <n v="4"/>
    <x v="1"/>
    <x v="8"/>
    <n v="3"/>
    <n v="1"/>
    <n v="4"/>
  </r>
  <r>
    <n v="34"/>
    <x v="0"/>
    <s v="Travel_Frequently"/>
    <n v="296"/>
    <x v="0"/>
    <n v="6"/>
    <n v="2"/>
    <s v="Marketing"/>
    <n v="1"/>
    <n v="555"/>
    <x v="2"/>
    <s v="Female"/>
    <n v="33"/>
    <n v="1"/>
    <n v="1"/>
    <x v="6"/>
    <x v="2"/>
    <s v="Divorced"/>
    <n v="2351"/>
    <n v="12253"/>
    <n v="0"/>
    <s v="Y"/>
    <x v="1"/>
    <n v="16"/>
    <n v="3"/>
    <n v="4"/>
    <n v="80"/>
    <n v="1"/>
    <n v="3"/>
    <n v="3"/>
    <x v="2"/>
    <x v="4"/>
    <n v="2"/>
    <n v="1"/>
    <n v="0"/>
  </r>
  <r>
    <n v="38"/>
    <x v="1"/>
    <s v="Travel_Frequently"/>
    <n v="1490"/>
    <x v="1"/>
    <n v="2"/>
    <n v="2"/>
    <s v="Life Sciences"/>
    <n v="1"/>
    <n v="556"/>
    <x v="2"/>
    <s v="Male"/>
    <n v="42"/>
    <n v="3"/>
    <n v="1"/>
    <x v="2"/>
    <x v="0"/>
    <s v="Married"/>
    <n v="1702"/>
    <n v="12106"/>
    <n v="1"/>
    <s v="Y"/>
    <x v="0"/>
    <n v="23"/>
    <n v="4"/>
    <n v="3"/>
    <n v="80"/>
    <n v="1"/>
    <n v="1"/>
    <n v="3"/>
    <x v="1"/>
    <x v="6"/>
    <n v="0"/>
    <n v="0"/>
    <n v="0"/>
  </r>
  <r>
    <n v="40"/>
    <x v="1"/>
    <s v="Travel_Rarely"/>
    <n v="1398"/>
    <x v="0"/>
    <n v="2"/>
    <n v="4"/>
    <s v="Life Sciences"/>
    <n v="1"/>
    <n v="558"/>
    <x v="1"/>
    <s v="Female"/>
    <n v="79"/>
    <n v="3"/>
    <n v="5"/>
    <x v="5"/>
    <x v="2"/>
    <s v="Married"/>
    <n v="18041"/>
    <n v="13022"/>
    <n v="0"/>
    <s v="Y"/>
    <x v="1"/>
    <n v="14"/>
    <n v="3"/>
    <n v="4"/>
    <n v="80"/>
    <n v="0"/>
    <n v="21"/>
    <n v="2"/>
    <x v="1"/>
    <x v="23"/>
    <n v="15"/>
    <n v="1"/>
    <n v="12"/>
  </r>
  <r>
    <n v="26"/>
    <x v="1"/>
    <s v="Travel_Rarely"/>
    <n v="1349"/>
    <x v="1"/>
    <n v="23"/>
    <n v="3"/>
    <s v="Life Sciences"/>
    <n v="1"/>
    <n v="560"/>
    <x v="3"/>
    <s v="Female"/>
    <n v="90"/>
    <n v="3"/>
    <n v="1"/>
    <x v="1"/>
    <x v="0"/>
    <s v="Divorced"/>
    <n v="2886"/>
    <n v="3032"/>
    <n v="1"/>
    <s v="Y"/>
    <x v="1"/>
    <n v="22"/>
    <n v="4"/>
    <n v="2"/>
    <n v="80"/>
    <n v="2"/>
    <n v="3"/>
    <n v="3"/>
    <x v="0"/>
    <x v="11"/>
    <n v="2"/>
    <n v="0"/>
    <n v="2"/>
  </r>
  <r>
    <n v="30"/>
    <x v="1"/>
    <s v="Non-Travel"/>
    <n v="1400"/>
    <x v="1"/>
    <n v="3"/>
    <n v="3"/>
    <s v="Life Sciences"/>
    <n v="1"/>
    <n v="562"/>
    <x v="1"/>
    <s v="Male"/>
    <n v="53"/>
    <n v="3"/>
    <n v="1"/>
    <x v="2"/>
    <x v="0"/>
    <s v="Married"/>
    <n v="2097"/>
    <n v="16734"/>
    <n v="4"/>
    <s v="Y"/>
    <x v="1"/>
    <n v="15"/>
    <n v="3"/>
    <n v="3"/>
    <n v="80"/>
    <n v="1"/>
    <n v="9"/>
    <n v="3"/>
    <x v="0"/>
    <x v="8"/>
    <n v="3"/>
    <n v="1"/>
    <n v="4"/>
  </r>
  <r>
    <n v="29"/>
    <x v="1"/>
    <s v="Travel_Rarely"/>
    <n v="986"/>
    <x v="1"/>
    <n v="3"/>
    <n v="4"/>
    <s v="Medical"/>
    <n v="1"/>
    <n v="564"/>
    <x v="0"/>
    <s v="Male"/>
    <n v="93"/>
    <n v="2"/>
    <n v="3"/>
    <x v="7"/>
    <x v="2"/>
    <s v="Married"/>
    <n v="11935"/>
    <n v="21526"/>
    <n v="1"/>
    <s v="Y"/>
    <x v="1"/>
    <n v="18"/>
    <n v="3"/>
    <n v="3"/>
    <n v="80"/>
    <n v="0"/>
    <n v="10"/>
    <n v="2"/>
    <x v="1"/>
    <x v="1"/>
    <n v="2"/>
    <n v="0"/>
    <n v="7"/>
  </r>
  <r>
    <n v="29"/>
    <x v="0"/>
    <s v="Travel_Rarely"/>
    <n v="408"/>
    <x v="1"/>
    <n v="25"/>
    <n v="5"/>
    <s v="Technical Degree"/>
    <n v="1"/>
    <n v="565"/>
    <x v="1"/>
    <s v="Female"/>
    <n v="71"/>
    <n v="2"/>
    <n v="1"/>
    <x v="1"/>
    <x v="1"/>
    <s v="Married"/>
    <n v="2546"/>
    <n v="18300"/>
    <n v="5"/>
    <s v="Y"/>
    <x v="1"/>
    <n v="16"/>
    <n v="3"/>
    <n v="2"/>
    <n v="80"/>
    <n v="0"/>
    <n v="6"/>
    <n v="2"/>
    <x v="3"/>
    <x v="4"/>
    <n v="2"/>
    <n v="1"/>
    <n v="1"/>
  </r>
  <r>
    <n v="19"/>
    <x v="0"/>
    <s v="Travel_Rarely"/>
    <n v="489"/>
    <x v="2"/>
    <n v="2"/>
    <n v="2"/>
    <s v="Technical Degree"/>
    <n v="1"/>
    <n v="566"/>
    <x v="3"/>
    <s v="Male"/>
    <n v="52"/>
    <n v="2"/>
    <n v="1"/>
    <x v="8"/>
    <x v="0"/>
    <s v="Single"/>
    <n v="2564"/>
    <n v="18437"/>
    <n v="1"/>
    <s v="Y"/>
    <x v="1"/>
    <n v="12"/>
    <n v="3"/>
    <n v="3"/>
    <n v="80"/>
    <n v="0"/>
    <n v="1"/>
    <n v="3"/>
    <x v="3"/>
    <x v="6"/>
    <n v="0"/>
    <n v="0"/>
    <n v="0"/>
  </r>
  <r>
    <n v="30"/>
    <x v="1"/>
    <s v="Non-Travel"/>
    <n v="1398"/>
    <x v="0"/>
    <n v="22"/>
    <n v="4"/>
    <s v="Other"/>
    <n v="1"/>
    <n v="567"/>
    <x v="1"/>
    <s v="Female"/>
    <n v="69"/>
    <n v="3"/>
    <n v="3"/>
    <x v="0"/>
    <x v="3"/>
    <s v="Married"/>
    <n v="8412"/>
    <n v="2890"/>
    <n v="0"/>
    <s v="Y"/>
    <x v="1"/>
    <n v="11"/>
    <n v="3"/>
    <n v="3"/>
    <n v="80"/>
    <n v="0"/>
    <n v="10"/>
    <n v="3"/>
    <x v="1"/>
    <x v="7"/>
    <n v="8"/>
    <n v="7"/>
    <n v="8"/>
  </r>
  <r>
    <n v="57"/>
    <x v="1"/>
    <s v="Travel_Rarely"/>
    <n v="210"/>
    <x v="0"/>
    <n v="29"/>
    <n v="3"/>
    <s v="Marketing"/>
    <n v="1"/>
    <n v="568"/>
    <x v="3"/>
    <s v="Male"/>
    <n v="56"/>
    <n v="2"/>
    <n v="4"/>
    <x v="5"/>
    <x v="0"/>
    <s v="Divorced"/>
    <n v="14118"/>
    <n v="22102"/>
    <n v="3"/>
    <s v="Y"/>
    <x v="1"/>
    <n v="12"/>
    <n v="3"/>
    <n v="3"/>
    <n v="80"/>
    <n v="1"/>
    <n v="32"/>
    <n v="3"/>
    <x v="2"/>
    <x v="6"/>
    <n v="0"/>
    <n v="0"/>
    <n v="0"/>
  </r>
  <r>
    <n v="50"/>
    <x v="1"/>
    <s v="Travel_Rarely"/>
    <n v="1099"/>
    <x v="1"/>
    <n v="29"/>
    <n v="4"/>
    <s v="Life Sciences"/>
    <n v="1"/>
    <n v="569"/>
    <x v="0"/>
    <s v="Male"/>
    <n v="88"/>
    <n v="2"/>
    <n v="4"/>
    <x v="5"/>
    <x v="2"/>
    <s v="Married"/>
    <n v="17046"/>
    <n v="9314"/>
    <n v="0"/>
    <s v="Y"/>
    <x v="1"/>
    <n v="15"/>
    <n v="3"/>
    <n v="2"/>
    <n v="80"/>
    <n v="1"/>
    <n v="28"/>
    <n v="2"/>
    <x v="1"/>
    <x v="16"/>
    <n v="10"/>
    <n v="15"/>
    <n v="7"/>
  </r>
  <r>
    <n v="30"/>
    <x v="1"/>
    <s v="Non-Travel"/>
    <n v="1116"/>
    <x v="1"/>
    <n v="2"/>
    <n v="3"/>
    <s v="Medical"/>
    <n v="1"/>
    <n v="571"/>
    <x v="1"/>
    <s v="Female"/>
    <n v="49"/>
    <n v="3"/>
    <n v="1"/>
    <x v="2"/>
    <x v="0"/>
    <s v="Single"/>
    <n v="2564"/>
    <n v="7181"/>
    <n v="0"/>
    <s v="Y"/>
    <x v="1"/>
    <n v="14"/>
    <n v="3"/>
    <n v="3"/>
    <n v="80"/>
    <n v="0"/>
    <n v="12"/>
    <n v="2"/>
    <x v="2"/>
    <x v="19"/>
    <n v="7"/>
    <n v="6"/>
    <n v="7"/>
  </r>
  <r>
    <n v="60"/>
    <x v="1"/>
    <s v="Travel_Frequently"/>
    <n v="1499"/>
    <x v="0"/>
    <n v="28"/>
    <n v="3"/>
    <s v="Marketing"/>
    <n v="1"/>
    <n v="573"/>
    <x v="1"/>
    <s v="Female"/>
    <n v="80"/>
    <n v="2"/>
    <n v="3"/>
    <x v="0"/>
    <x v="3"/>
    <s v="Married"/>
    <n v="10266"/>
    <n v="2845"/>
    <n v="4"/>
    <s v="Y"/>
    <x v="1"/>
    <n v="19"/>
    <n v="3"/>
    <n v="4"/>
    <n v="80"/>
    <n v="0"/>
    <n v="22"/>
    <n v="5"/>
    <x v="3"/>
    <x v="29"/>
    <n v="13"/>
    <n v="13"/>
    <n v="11"/>
  </r>
  <r>
    <n v="47"/>
    <x v="1"/>
    <s v="Travel_Rarely"/>
    <n v="983"/>
    <x v="1"/>
    <n v="2"/>
    <n v="2"/>
    <s v="Medical"/>
    <n v="1"/>
    <n v="574"/>
    <x v="3"/>
    <s v="Female"/>
    <n v="65"/>
    <n v="3"/>
    <n v="2"/>
    <x v="3"/>
    <x v="0"/>
    <s v="Divorced"/>
    <n v="5070"/>
    <n v="7389"/>
    <n v="5"/>
    <s v="Y"/>
    <x v="1"/>
    <n v="13"/>
    <n v="3"/>
    <n v="3"/>
    <n v="80"/>
    <n v="3"/>
    <n v="20"/>
    <n v="2"/>
    <x v="1"/>
    <x v="8"/>
    <n v="0"/>
    <n v="0"/>
    <n v="4"/>
  </r>
  <r>
    <n v="46"/>
    <x v="1"/>
    <s v="Travel_Rarely"/>
    <n v="1009"/>
    <x v="1"/>
    <n v="2"/>
    <n v="3"/>
    <s v="Life Sciences"/>
    <n v="1"/>
    <n v="575"/>
    <x v="3"/>
    <s v="Male"/>
    <n v="51"/>
    <n v="3"/>
    <n v="4"/>
    <x v="7"/>
    <x v="2"/>
    <s v="Married"/>
    <n v="17861"/>
    <n v="2288"/>
    <n v="6"/>
    <s v="Y"/>
    <x v="1"/>
    <n v="13"/>
    <n v="3"/>
    <n v="3"/>
    <n v="80"/>
    <n v="0"/>
    <n v="26"/>
    <n v="2"/>
    <x v="0"/>
    <x v="11"/>
    <n v="2"/>
    <n v="0"/>
    <n v="1"/>
  </r>
  <r>
    <n v="35"/>
    <x v="1"/>
    <s v="Travel_Rarely"/>
    <n v="144"/>
    <x v="1"/>
    <n v="22"/>
    <n v="3"/>
    <s v="Life Sciences"/>
    <n v="1"/>
    <n v="577"/>
    <x v="2"/>
    <s v="Male"/>
    <n v="46"/>
    <n v="1"/>
    <n v="1"/>
    <x v="2"/>
    <x v="2"/>
    <s v="Single"/>
    <n v="4230"/>
    <n v="19225"/>
    <n v="0"/>
    <s v="Y"/>
    <x v="1"/>
    <n v="15"/>
    <n v="3"/>
    <n v="3"/>
    <n v="80"/>
    <n v="0"/>
    <n v="6"/>
    <n v="2"/>
    <x v="1"/>
    <x v="8"/>
    <n v="4"/>
    <n v="4"/>
    <n v="3"/>
  </r>
  <r>
    <n v="54"/>
    <x v="1"/>
    <s v="Travel_Rarely"/>
    <n v="548"/>
    <x v="1"/>
    <n v="8"/>
    <n v="4"/>
    <s v="Life Sciences"/>
    <n v="1"/>
    <n v="578"/>
    <x v="1"/>
    <s v="Female"/>
    <n v="42"/>
    <n v="3"/>
    <n v="2"/>
    <x v="2"/>
    <x v="2"/>
    <s v="Single"/>
    <n v="3780"/>
    <n v="23428"/>
    <n v="7"/>
    <s v="Y"/>
    <x v="1"/>
    <n v="11"/>
    <n v="3"/>
    <n v="3"/>
    <n v="80"/>
    <n v="0"/>
    <n v="19"/>
    <n v="3"/>
    <x v="1"/>
    <x v="6"/>
    <n v="0"/>
    <n v="0"/>
    <n v="0"/>
  </r>
  <r>
    <n v="34"/>
    <x v="1"/>
    <s v="Travel_Rarely"/>
    <n v="1303"/>
    <x v="1"/>
    <n v="2"/>
    <n v="4"/>
    <s v="Life Sciences"/>
    <n v="1"/>
    <n v="579"/>
    <x v="2"/>
    <s v="Male"/>
    <n v="62"/>
    <n v="2"/>
    <n v="1"/>
    <x v="1"/>
    <x v="2"/>
    <s v="Divorced"/>
    <n v="2768"/>
    <n v="8416"/>
    <n v="3"/>
    <s v="Y"/>
    <x v="1"/>
    <n v="12"/>
    <n v="3"/>
    <n v="3"/>
    <n v="80"/>
    <n v="1"/>
    <n v="14"/>
    <n v="3"/>
    <x v="1"/>
    <x v="5"/>
    <n v="3"/>
    <n v="5"/>
    <n v="7"/>
  </r>
  <r>
    <n v="46"/>
    <x v="1"/>
    <s v="Travel_Rarely"/>
    <n v="1125"/>
    <x v="0"/>
    <n v="10"/>
    <n v="3"/>
    <s v="Marketing"/>
    <n v="1"/>
    <n v="580"/>
    <x v="1"/>
    <s v="Female"/>
    <n v="94"/>
    <n v="2"/>
    <n v="3"/>
    <x v="0"/>
    <x v="0"/>
    <s v="Married"/>
    <n v="9071"/>
    <n v="11563"/>
    <n v="2"/>
    <s v="Y"/>
    <x v="0"/>
    <n v="19"/>
    <n v="3"/>
    <n v="3"/>
    <n v="80"/>
    <n v="1"/>
    <n v="15"/>
    <n v="3"/>
    <x v="1"/>
    <x v="11"/>
    <n v="2"/>
    <n v="1"/>
    <n v="2"/>
  </r>
  <r>
    <n v="31"/>
    <x v="1"/>
    <s v="Travel_Rarely"/>
    <n v="1274"/>
    <x v="1"/>
    <n v="9"/>
    <n v="1"/>
    <s v="Life Sciences"/>
    <n v="1"/>
    <n v="581"/>
    <x v="1"/>
    <s v="Male"/>
    <n v="33"/>
    <n v="3"/>
    <n v="3"/>
    <x v="3"/>
    <x v="1"/>
    <s v="Divorced"/>
    <n v="10648"/>
    <n v="14394"/>
    <n v="1"/>
    <s v="Y"/>
    <x v="1"/>
    <n v="25"/>
    <n v="4"/>
    <n v="4"/>
    <n v="80"/>
    <n v="1"/>
    <n v="13"/>
    <n v="6"/>
    <x v="3"/>
    <x v="20"/>
    <n v="8"/>
    <n v="0"/>
    <n v="8"/>
  </r>
  <r>
    <n v="33"/>
    <x v="0"/>
    <s v="Travel_Rarely"/>
    <n v="1277"/>
    <x v="1"/>
    <n v="15"/>
    <n v="1"/>
    <s v="Medical"/>
    <n v="1"/>
    <n v="582"/>
    <x v="0"/>
    <s v="Male"/>
    <n v="56"/>
    <n v="3"/>
    <n v="3"/>
    <x v="5"/>
    <x v="2"/>
    <s v="Married"/>
    <n v="13610"/>
    <n v="24619"/>
    <n v="7"/>
    <s v="Y"/>
    <x v="0"/>
    <n v="12"/>
    <n v="3"/>
    <n v="4"/>
    <n v="80"/>
    <n v="0"/>
    <n v="15"/>
    <n v="2"/>
    <x v="3"/>
    <x v="5"/>
    <n v="6"/>
    <n v="7"/>
    <n v="7"/>
  </r>
  <r>
    <n v="33"/>
    <x v="0"/>
    <s v="Travel_Rarely"/>
    <n v="587"/>
    <x v="1"/>
    <n v="10"/>
    <n v="1"/>
    <s v="Medical"/>
    <n v="1"/>
    <n v="584"/>
    <x v="3"/>
    <s v="Male"/>
    <n v="38"/>
    <n v="1"/>
    <n v="1"/>
    <x v="2"/>
    <x v="0"/>
    <s v="Divorced"/>
    <n v="3408"/>
    <n v="6705"/>
    <n v="7"/>
    <s v="Y"/>
    <x v="1"/>
    <n v="13"/>
    <n v="3"/>
    <n v="1"/>
    <n v="80"/>
    <n v="3"/>
    <n v="8"/>
    <n v="2"/>
    <x v="1"/>
    <x v="9"/>
    <n v="3"/>
    <n v="1"/>
    <n v="3"/>
  </r>
  <r>
    <n v="30"/>
    <x v="1"/>
    <s v="Travel_Rarely"/>
    <n v="413"/>
    <x v="0"/>
    <n v="7"/>
    <n v="1"/>
    <s v="Marketing"/>
    <n v="1"/>
    <n v="585"/>
    <x v="2"/>
    <s v="Male"/>
    <n v="57"/>
    <n v="3"/>
    <n v="1"/>
    <x v="6"/>
    <x v="1"/>
    <s v="Single"/>
    <n v="2983"/>
    <n v="18398"/>
    <n v="0"/>
    <s v="Y"/>
    <x v="1"/>
    <n v="14"/>
    <n v="3"/>
    <n v="1"/>
    <n v="80"/>
    <n v="0"/>
    <n v="4"/>
    <n v="3"/>
    <x v="1"/>
    <x v="11"/>
    <n v="2"/>
    <n v="1"/>
    <n v="2"/>
  </r>
  <r>
    <n v="35"/>
    <x v="1"/>
    <s v="Travel_Rarely"/>
    <n v="1276"/>
    <x v="1"/>
    <n v="16"/>
    <n v="3"/>
    <s v="Life Sciences"/>
    <n v="1"/>
    <n v="586"/>
    <x v="2"/>
    <s v="Male"/>
    <n v="72"/>
    <n v="3"/>
    <n v="3"/>
    <x v="4"/>
    <x v="2"/>
    <s v="Married"/>
    <n v="7632"/>
    <n v="14295"/>
    <n v="4"/>
    <s v="Y"/>
    <x v="0"/>
    <n v="12"/>
    <n v="3"/>
    <n v="3"/>
    <n v="80"/>
    <n v="0"/>
    <n v="10"/>
    <n v="2"/>
    <x v="1"/>
    <x v="3"/>
    <n v="7"/>
    <n v="0"/>
    <n v="0"/>
  </r>
  <r>
    <n v="31"/>
    <x v="0"/>
    <s v="Travel_Frequently"/>
    <n v="534"/>
    <x v="1"/>
    <n v="20"/>
    <n v="3"/>
    <s v="Life Sciences"/>
    <n v="1"/>
    <n v="587"/>
    <x v="3"/>
    <s v="Male"/>
    <n v="66"/>
    <n v="3"/>
    <n v="3"/>
    <x v="4"/>
    <x v="2"/>
    <s v="Married"/>
    <n v="9824"/>
    <n v="22908"/>
    <n v="3"/>
    <s v="Y"/>
    <x v="1"/>
    <n v="12"/>
    <n v="3"/>
    <n v="1"/>
    <n v="80"/>
    <n v="0"/>
    <n v="12"/>
    <n v="2"/>
    <x v="1"/>
    <x v="6"/>
    <n v="0"/>
    <n v="0"/>
    <n v="0"/>
  </r>
  <r>
    <n v="34"/>
    <x v="0"/>
    <s v="Travel_Frequently"/>
    <n v="988"/>
    <x v="2"/>
    <n v="23"/>
    <n v="3"/>
    <s v="Human Resources"/>
    <n v="1"/>
    <n v="590"/>
    <x v="0"/>
    <s v="Female"/>
    <n v="43"/>
    <n v="3"/>
    <n v="3"/>
    <x v="8"/>
    <x v="3"/>
    <s v="Divorced"/>
    <n v="9950"/>
    <n v="11533"/>
    <n v="9"/>
    <s v="Y"/>
    <x v="0"/>
    <n v="15"/>
    <n v="3"/>
    <n v="3"/>
    <n v="80"/>
    <n v="3"/>
    <n v="11"/>
    <n v="2"/>
    <x v="1"/>
    <x v="11"/>
    <n v="2"/>
    <n v="0"/>
    <n v="2"/>
  </r>
  <r>
    <n v="42"/>
    <x v="1"/>
    <s v="Travel_Frequently"/>
    <n v="1474"/>
    <x v="1"/>
    <n v="5"/>
    <n v="2"/>
    <s v="Other"/>
    <n v="1"/>
    <n v="591"/>
    <x v="0"/>
    <s v="Male"/>
    <n v="97"/>
    <n v="3"/>
    <n v="1"/>
    <x v="2"/>
    <x v="2"/>
    <s v="Married"/>
    <n v="2093"/>
    <n v="9260"/>
    <n v="4"/>
    <s v="Y"/>
    <x v="1"/>
    <n v="17"/>
    <n v="3"/>
    <n v="4"/>
    <n v="80"/>
    <n v="1"/>
    <n v="8"/>
    <n v="4"/>
    <x v="1"/>
    <x v="4"/>
    <n v="2"/>
    <n v="2"/>
    <n v="0"/>
  </r>
  <r>
    <n v="36"/>
    <x v="1"/>
    <s v="Non-Travel"/>
    <n v="635"/>
    <x v="0"/>
    <n v="10"/>
    <n v="4"/>
    <s v="Medical"/>
    <n v="1"/>
    <n v="592"/>
    <x v="0"/>
    <s v="Male"/>
    <n v="32"/>
    <n v="3"/>
    <n v="3"/>
    <x v="0"/>
    <x v="0"/>
    <s v="Single"/>
    <n v="9980"/>
    <n v="15318"/>
    <n v="1"/>
    <s v="Y"/>
    <x v="1"/>
    <n v="14"/>
    <n v="3"/>
    <n v="4"/>
    <n v="80"/>
    <n v="0"/>
    <n v="10"/>
    <n v="3"/>
    <x v="2"/>
    <x v="1"/>
    <n v="3"/>
    <n v="9"/>
    <n v="7"/>
  </r>
  <r>
    <n v="22"/>
    <x v="0"/>
    <s v="Travel_Frequently"/>
    <n v="1368"/>
    <x v="1"/>
    <n v="4"/>
    <n v="1"/>
    <s v="Technical Degree"/>
    <n v="1"/>
    <n v="593"/>
    <x v="1"/>
    <s v="Male"/>
    <n v="99"/>
    <n v="2"/>
    <n v="1"/>
    <x v="2"/>
    <x v="2"/>
    <s v="Single"/>
    <n v="3894"/>
    <n v="9129"/>
    <n v="5"/>
    <s v="Y"/>
    <x v="1"/>
    <n v="16"/>
    <n v="3"/>
    <n v="3"/>
    <n v="80"/>
    <n v="0"/>
    <n v="4"/>
    <n v="3"/>
    <x v="1"/>
    <x v="4"/>
    <n v="2"/>
    <n v="1"/>
    <n v="2"/>
  </r>
  <r>
    <n v="48"/>
    <x v="1"/>
    <s v="Travel_Rarely"/>
    <n v="163"/>
    <x v="0"/>
    <n v="2"/>
    <n v="5"/>
    <s v="Marketing"/>
    <n v="1"/>
    <n v="595"/>
    <x v="0"/>
    <s v="Female"/>
    <n v="37"/>
    <n v="3"/>
    <n v="2"/>
    <x v="0"/>
    <x v="0"/>
    <s v="Married"/>
    <n v="4051"/>
    <n v="19658"/>
    <n v="2"/>
    <s v="Y"/>
    <x v="1"/>
    <n v="14"/>
    <n v="3"/>
    <n v="1"/>
    <n v="80"/>
    <n v="1"/>
    <n v="14"/>
    <n v="2"/>
    <x v="1"/>
    <x v="7"/>
    <n v="7"/>
    <n v="6"/>
    <n v="7"/>
  </r>
  <r>
    <n v="55"/>
    <x v="1"/>
    <s v="Travel_Rarely"/>
    <n v="1117"/>
    <x v="0"/>
    <n v="18"/>
    <n v="5"/>
    <s v="Life Sciences"/>
    <n v="1"/>
    <n v="597"/>
    <x v="3"/>
    <s v="Female"/>
    <n v="83"/>
    <n v="3"/>
    <n v="4"/>
    <x v="5"/>
    <x v="1"/>
    <s v="Single"/>
    <n v="16835"/>
    <n v="9873"/>
    <n v="3"/>
    <s v="Y"/>
    <x v="1"/>
    <n v="23"/>
    <n v="4"/>
    <n v="4"/>
    <n v="80"/>
    <n v="0"/>
    <n v="37"/>
    <n v="2"/>
    <x v="1"/>
    <x v="1"/>
    <n v="9"/>
    <n v="7"/>
    <n v="7"/>
  </r>
  <r>
    <n v="41"/>
    <x v="1"/>
    <s v="Non-Travel"/>
    <n v="267"/>
    <x v="0"/>
    <n v="10"/>
    <n v="2"/>
    <s v="Life Sciences"/>
    <n v="1"/>
    <n v="599"/>
    <x v="2"/>
    <s v="Male"/>
    <n v="56"/>
    <n v="3"/>
    <n v="2"/>
    <x v="0"/>
    <x v="0"/>
    <s v="Single"/>
    <n v="6230"/>
    <n v="13430"/>
    <n v="7"/>
    <s v="Y"/>
    <x v="1"/>
    <n v="14"/>
    <n v="3"/>
    <n v="4"/>
    <n v="80"/>
    <n v="0"/>
    <n v="16"/>
    <n v="3"/>
    <x v="1"/>
    <x v="13"/>
    <n v="3"/>
    <n v="1"/>
    <n v="10"/>
  </r>
  <r>
    <n v="35"/>
    <x v="1"/>
    <s v="Travel_Rarely"/>
    <n v="619"/>
    <x v="0"/>
    <n v="1"/>
    <n v="3"/>
    <s v="Marketing"/>
    <n v="1"/>
    <n v="600"/>
    <x v="0"/>
    <s v="Male"/>
    <n v="85"/>
    <n v="3"/>
    <n v="2"/>
    <x v="0"/>
    <x v="2"/>
    <s v="Married"/>
    <n v="4717"/>
    <n v="18659"/>
    <n v="9"/>
    <s v="Y"/>
    <x v="1"/>
    <n v="11"/>
    <n v="3"/>
    <n v="3"/>
    <n v="80"/>
    <n v="0"/>
    <n v="15"/>
    <n v="2"/>
    <x v="1"/>
    <x v="19"/>
    <n v="9"/>
    <n v="6"/>
    <n v="9"/>
  </r>
  <r>
    <n v="40"/>
    <x v="1"/>
    <s v="Travel_Rarely"/>
    <n v="302"/>
    <x v="1"/>
    <n v="6"/>
    <n v="3"/>
    <s v="Life Sciences"/>
    <n v="1"/>
    <n v="601"/>
    <x v="0"/>
    <s v="Female"/>
    <n v="75"/>
    <n v="3"/>
    <n v="4"/>
    <x v="3"/>
    <x v="2"/>
    <s v="Single"/>
    <n v="13237"/>
    <n v="20364"/>
    <n v="7"/>
    <s v="Y"/>
    <x v="1"/>
    <n v="15"/>
    <n v="3"/>
    <n v="3"/>
    <n v="80"/>
    <n v="0"/>
    <n v="22"/>
    <n v="3"/>
    <x v="1"/>
    <x v="23"/>
    <n v="6"/>
    <n v="5"/>
    <n v="13"/>
  </r>
  <r>
    <n v="39"/>
    <x v="1"/>
    <s v="Travel_Frequently"/>
    <n v="443"/>
    <x v="1"/>
    <n v="8"/>
    <n v="1"/>
    <s v="Life Sciences"/>
    <n v="1"/>
    <n v="602"/>
    <x v="1"/>
    <s v="Female"/>
    <n v="48"/>
    <n v="3"/>
    <n v="1"/>
    <x v="2"/>
    <x v="2"/>
    <s v="Married"/>
    <n v="3755"/>
    <n v="17872"/>
    <n v="1"/>
    <s v="Y"/>
    <x v="1"/>
    <n v="11"/>
    <n v="3"/>
    <n v="1"/>
    <n v="80"/>
    <n v="1"/>
    <n v="8"/>
    <n v="3"/>
    <x v="1"/>
    <x v="3"/>
    <n v="3"/>
    <n v="0"/>
    <n v="7"/>
  </r>
  <r>
    <n v="31"/>
    <x v="1"/>
    <s v="Travel_Rarely"/>
    <n v="828"/>
    <x v="0"/>
    <n v="2"/>
    <n v="1"/>
    <s v="Life Sciences"/>
    <n v="1"/>
    <n v="604"/>
    <x v="0"/>
    <s v="Male"/>
    <n v="77"/>
    <n v="3"/>
    <n v="2"/>
    <x v="0"/>
    <x v="0"/>
    <s v="Single"/>
    <n v="6582"/>
    <n v="8346"/>
    <n v="4"/>
    <s v="Y"/>
    <x v="0"/>
    <n v="13"/>
    <n v="3"/>
    <n v="3"/>
    <n v="80"/>
    <n v="0"/>
    <n v="10"/>
    <n v="2"/>
    <x v="3"/>
    <x v="0"/>
    <n v="5"/>
    <n v="0"/>
    <n v="5"/>
  </r>
  <r>
    <n v="42"/>
    <x v="1"/>
    <s v="Travel_Rarely"/>
    <n v="319"/>
    <x v="1"/>
    <n v="24"/>
    <n v="3"/>
    <s v="Medical"/>
    <n v="1"/>
    <n v="605"/>
    <x v="2"/>
    <s v="Male"/>
    <n v="56"/>
    <n v="3"/>
    <n v="3"/>
    <x v="3"/>
    <x v="3"/>
    <s v="Married"/>
    <n v="7406"/>
    <n v="6950"/>
    <n v="1"/>
    <s v="Y"/>
    <x v="0"/>
    <n v="21"/>
    <n v="4"/>
    <n v="4"/>
    <n v="80"/>
    <n v="1"/>
    <n v="10"/>
    <n v="5"/>
    <x v="2"/>
    <x v="1"/>
    <n v="9"/>
    <n v="5"/>
    <n v="8"/>
  </r>
  <r>
    <n v="45"/>
    <x v="1"/>
    <s v="Travel_Rarely"/>
    <n v="561"/>
    <x v="0"/>
    <n v="2"/>
    <n v="3"/>
    <s v="Other"/>
    <n v="1"/>
    <n v="606"/>
    <x v="2"/>
    <s v="Male"/>
    <n v="61"/>
    <n v="3"/>
    <n v="2"/>
    <x v="0"/>
    <x v="1"/>
    <s v="Married"/>
    <n v="4805"/>
    <n v="16177"/>
    <n v="0"/>
    <s v="Y"/>
    <x v="1"/>
    <n v="19"/>
    <n v="3"/>
    <n v="2"/>
    <n v="80"/>
    <n v="1"/>
    <n v="9"/>
    <n v="3"/>
    <x v="3"/>
    <x v="3"/>
    <n v="7"/>
    <n v="3"/>
    <n v="7"/>
  </r>
  <r>
    <n v="26"/>
    <x v="0"/>
    <s v="Travel_Frequently"/>
    <n v="426"/>
    <x v="2"/>
    <n v="17"/>
    <n v="4"/>
    <s v="Life Sciences"/>
    <n v="1"/>
    <n v="608"/>
    <x v="0"/>
    <s v="Female"/>
    <n v="58"/>
    <n v="3"/>
    <n v="1"/>
    <x v="8"/>
    <x v="2"/>
    <s v="Divorced"/>
    <n v="2741"/>
    <n v="22808"/>
    <n v="0"/>
    <s v="Y"/>
    <x v="0"/>
    <n v="11"/>
    <n v="3"/>
    <n v="2"/>
    <n v="80"/>
    <n v="1"/>
    <n v="8"/>
    <n v="2"/>
    <x v="2"/>
    <x v="5"/>
    <n v="7"/>
    <n v="1"/>
    <n v="0"/>
  </r>
  <r>
    <n v="29"/>
    <x v="1"/>
    <s v="Travel_Rarely"/>
    <n v="232"/>
    <x v="1"/>
    <n v="19"/>
    <n v="3"/>
    <s v="Technical Degree"/>
    <n v="1"/>
    <n v="611"/>
    <x v="2"/>
    <s v="Male"/>
    <n v="34"/>
    <n v="3"/>
    <n v="2"/>
    <x v="3"/>
    <x v="0"/>
    <s v="Divorced"/>
    <n v="4262"/>
    <n v="22645"/>
    <n v="4"/>
    <s v="Y"/>
    <x v="1"/>
    <n v="12"/>
    <n v="3"/>
    <n v="2"/>
    <n v="80"/>
    <n v="2"/>
    <n v="8"/>
    <n v="2"/>
    <x v="3"/>
    <x v="11"/>
    <n v="2"/>
    <n v="1"/>
    <n v="2"/>
  </r>
  <r>
    <n v="33"/>
    <x v="1"/>
    <s v="Travel_Rarely"/>
    <n v="922"/>
    <x v="1"/>
    <n v="1"/>
    <n v="5"/>
    <s v="Medical"/>
    <n v="1"/>
    <n v="612"/>
    <x v="3"/>
    <s v="Female"/>
    <n v="95"/>
    <n v="4"/>
    <n v="4"/>
    <x v="7"/>
    <x v="2"/>
    <s v="Divorced"/>
    <n v="16184"/>
    <n v="22578"/>
    <n v="4"/>
    <s v="Y"/>
    <x v="1"/>
    <n v="19"/>
    <n v="3"/>
    <n v="3"/>
    <n v="80"/>
    <n v="1"/>
    <n v="10"/>
    <n v="2"/>
    <x v="1"/>
    <x v="0"/>
    <n v="1"/>
    <n v="0"/>
    <n v="5"/>
  </r>
  <r>
    <n v="31"/>
    <x v="1"/>
    <s v="Travel_Rarely"/>
    <n v="688"/>
    <x v="0"/>
    <n v="7"/>
    <n v="3"/>
    <s v="Life Sciences"/>
    <n v="1"/>
    <n v="613"/>
    <x v="1"/>
    <s v="Male"/>
    <n v="44"/>
    <n v="2"/>
    <n v="3"/>
    <x v="5"/>
    <x v="0"/>
    <s v="Divorced"/>
    <n v="11557"/>
    <n v="25291"/>
    <n v="9"/>
    <s v="Y"/>
    <x v="1"/>
    <n v="21"/>
    <n v="4"/>
    <n v="3"/>
    <n v="80"/>
    <n v="1"/>
    <n v="10"/>
    <n v="3"/>
    <x v="2"/>
    <x v="8"/>
    <n v="4"/>
    <n v="0"/>
    <n v="1"/>
  </r>
  <r>
    <n v="18"/>
    <x v="0"/>
    <s v="Travel_Frequently"/>
    <n v="1306"/>
    <x v="0"/>
    <n v="5"/>
    <n v="3"/>
    <s v="Marketing"/>
    <n v="1"/>
    <n v="614"/>
    <x v="0"/>
    <s v="Male"/>
    <n v="69"/>
    <n v="3"/>
    <n v="1"/>
    <x v="6"/>
    <x v="1"/>
    <s v="Single"/>
    <n v="1878"/>
    <n v="8059"/>
    <n v="1"/>
    <s v="Y"/>
    <x v="0"/>
    <n v="14"/>
    <n v="3"/>
    <n v="4"/>
    <n v="80"/>
    <n v="0"/>
    <n v="0"/>
    <n v="3"/>
    <x v="1"/>
    <x v="2"/>
    <n v="0"/>
    <n v="0"/>
    <n v="0"/>
  </r>
  <r>
    <n v="40"/>
    <x v="1"/>
    <s v="Non-Travel"/>
    <n v="1094"/>
    <x v="0"/>
    <n v="28"/>
    <n v="3"/>
    <s v="Other"/>
    <n v="1"/>
    <n v="615"/>
    <x v="1"/>
    <s v="Male"/>
    <n v="58"/>
    <n v="1"/>
    <n v="3"/>
    <x v="0"/>
    <x v="3"/>
    <s v="Divorced"/>
    <n v="10932"/>
    <n v="11373"/>
    <n v="3"/>
    <s v="Y"/>
    <x v="1"/>
    <n v="15"/>
    <n v="3"/>
    <n v="3"/>
    <n v="80"/>
    <n v="1"/>
    <n v="20"/>
    <n v="2"/>
    <x v="1"/>
    <x v="6"/>
    <n v="0"/>
    <n v="0"/>
    <n v="1"/>
  </r>
  <r>
    <n v="41"/>
    <x v="1"/>
    <s v="Non-Travel"/>
    <n v="509"/>
    <x v="1"/>
    <n v="2"/>
    <n v="4"/>
    <s v="Other"/>
    <n v="1"/>
    <n v="616"/>
    <x v="3"/>
    <s v="Female"/>
    <n v="62"/>
    <n v="2"/>
    <n v="2"/>
    <x v="4"/>
    <x v="2"/>
    <s v="Single"/>
    <n v="6811"/>
    <n v="2112"/>
    <n v="2"/>
    <s v="Y"/>
    <x v="0"/>
    <n v="17"/>
    <n v="3"/>
    <n v="1"/>
    <n v="80"/>
    <n v="0"/>
    <n v="10"/>
    <n v="3"/>
    <x v="1"/>
    <x v="3"/>
    <n v="7"/>
    <n v="0"/>
    <n v="7"/>
  </r>
  <r>
    <n v="26"/>
    <x v="1"/>
    <s v="Travel_Rarely"/>
    <n v="775"/>
    <x v="0"/>
    <n v="29"/>
    <n v="2"/>
    <s v="Medical"/>
    <n v="1"/>
    <n v="618"/>
    <x v="3"/>
    <s v="Male"/>
    <n v="45"/>
    <n v="3"/>
    <n v="2"/>
    <x v="0"/>
    <x v="2"/>
    <s v="Divorced"/>
    <n v="4306"/>
    <n v="4267"/>
    <n v="5"/>
    <s v="Y"/>
    <x v="1"/>
    <n v="12"/>
    <n v="3"/>
    <n v="1"/>
    <n v="80"/>
    <n v="2"/>
    <n v="8"/>
    <n v="5"/>
    <x v="1"/>
    <x v="2"/>
    <n v="0"/>
    <n v="0"/>
    <n v="0"/>
  </r>
  <r>
    <n v="35"/>
    <x v="1"/>
    <s v="Travel_Rarely"/>
    <n v="195"/>
    <x v="0"/>
    <n v="1"/>
    <n v="3"/>
    <s v="Medical"/>
    <n v="1"/>
    <n v="620"/>
    <x v="3"/>
    <s v="Female"/>
    <n v="80"/>
    <n v="3"/>
    <n v="2"/>
    <x v="0"/>
    <x v="2"/>
    <s v="Single"/>
    <n v="4859"/>
    <n v="6698"/>
    <n v="1"/>
    <s v="Y"/>
    <x v="1"/>
    <n v="16"/>
    <n v="3"/>
    <n v="4"/>
    <n v="80"/>
    <n v="0"/>
    <n v="5"/>
    <n v="3"/>
    <x v="1"/>
    <x v="8"/>
    <n v="4"/>
    <n v="0"/>
    <n v="3"/>
  </r>
  <r>
    <n v="34"/>
    <x v="1"/>
    <s v="Travel_Rarely"/>
    <n v="258"/>
    <x v="0"/>
    <n v="21"/>
    <n v="4"/>
    <s v="Life Sciences"/>
    <n v="1"/>
    <n v="621"/>
    <x v="2"/>
    <s v="Male"/>
    <n v="74"/>
    <n v="4"/>
    <n v="2"/>
    <x v="0"/>
    <x v="0"/>
    <s v="Single"/>
    <n v="5337"/>
    <n v="19921"/>
    <n v="1"/>
    <s v="Y"/>
    <x v="1"/>
    <n v="12"/>
    <n v="3"/>
    <n v="4"/>
    <n v="80"/>
    <n v="0"/>
    <n v="10"/>
    <n v="3"/>
    <x v="1"/>
    <x v="1"/>
    <n v="7"/>
    <n v="5"/>
    <n v="7"/>
  </r>
  <r>
    <n v="26"/>
    <x v="0"/>
    <s v="Travel_Rarely"/>
    <n v="471"/>
    <x v="1"/>
    <n v="24"/>
    <n v="3"/>
    <s v="Technical Degree"/>
    <n v="1"/>
    <n v="622"/>
    <x v="1"/>
    <s v="Male"/>
    <n v="66"/>
    <n v="1"/>
    <n v="1"/>
    <x v="2"/>
    <x v="0"/>
    <s v="Single"/>
    <n v="2340"/>
    <n v="23213"/>
    <n v="1"/>
    <s v="Y"/>
    <x v="0"/>
    <n v="18"/>
    <n v="3"/>
    <n v="2"/>
    <n v="80"/>
    <n v="0"/>
    <n v="1"/>
    <n v="3"/>
    <x v="0"/>
    <x v="6"/>
    <n v="0"/>
    <n v="0"/>
    <n v="0"/>
  </r>
  <r>
    <n v="37"/>
    <x v="1"/>
    <s v="Travel_Rarely"/>
    <n v="799"/>
    <x v="1"/>
    <n v="1"/>
    <n v="3"/>
    <s v="Technical Degree"/>
    <n v="1"/>
    <n v="623"/>
    <x v="0"/>
    <s v="Female"/>
    <n v="59"/>
    <n v="3"/>
    <n v="3"/>
    <x v="3"/>
    <x v="0"/>
    <s v="Single"/>
    <n v="7491"/>
    <n v="23848"/>
    <n v="4"/>
    <s v="Y"/>
    <x v="1"/>
    <n v="17"/>
    <n v="3"/>
    <n v="4"/>
    <n v="80"/>
    <n v="0"/>
    <n v="12"/>
    <n v="3"/>
    <x v="3"/>
    <x v="0"/>
    <n v="5"/>
    <n v="1"/>
    <n v="2"/>
  </r>
  <r>
    <n v="46"/>
    <x v="1"/>
    <s v="Travel_Frequently"/>
    <n v="1034"/>
    <x v="1"/>
    <n v="18"/>
    <n v="1"/>
    <s v="Medical"/>
    <n v="1"/>
    <n v="624"/>
    <x v="3"/>
    <s v="Female"/>
    <n v="86"/>
    <n v="3"/>
    <n v="3"/>
    <x v="4"/>
    <x v="2"/>
    <s v="Married"/>
    <n v="10527"/>
    <n v="8984"/>
    <n v="5"/>
    <s v="Y"/>
    <x v="1"/>
    <n v="11"/>
    <n v="3"/>
    <n v="4"/>
    <n v="80"/>
    <n v="0"/>
    <n v="28"/>
    <n v="3"/>
    <x v="2"/>
    <x v="4"/>
    <n v="2"/>
    <n v="1"/>
    <n v="2"/>
  </r>
  <r>
    <n v="41"/>
    <x v="1"/>
    <s v="Travel_Rarely"/>
    <n v="1276"/>
    <x v="0"/>
    <n v="2"/>
    <n v="5"/>
    <s v="Life Sciences"/>
    <n v="1"/>
    <n v="625"/>
    <x v="0"/>
    <s v="Female"/>
    <n v="91"/>
    <n v="3"/>
    <n v="4"/>
    <x v="5"/>
    <x v="3"/>
    <s v="Married"/>
    <n v="16595"/>
    <n v="5626"/>
    <n v="7"/>
    <s v="Y"/>
    <x v="1"/>
    <n v="16"/>
    <n v="3"/>
    <n v="2"/>
    <n v="80"/>
    <n v="1"/>
    <n v="22"/>
    <n v="2"/>
    <x v="1"/>
    <x v="29"/>
    <n v="16"/>
    <n v="11"/>
    <n v="8"/>
  </r>
  <r>
    <n v="37"/>
    <x v="1"/>
    <s v="Non-Travel"/>
    <n v="142"/>
    <x v="0"/>
    <n v="9"/>
    <n v="4"/>
    <s v="Medical"/>
    <n v="1"/>
    <n v="626"/>
    <x v="3"/>
    <s v="Male"/>
    <n v="69"/>
    <n v="3"/>
    <n v="3"/>
    <x v="0"/>
    <x v="1"/>
    <s v="Divorced"/>
    <n v="8834"/>
    <n v="24666"/>
    <n v="1"/>
    <s v="Y"/>
    <x v="1"/>
    <n v="13"/>
    <n v="3"/>
    <n v="4"/>
    <n v="80"/>
    <n v="1"/>
    <n v="9"/>
    <n v="6"/>
    <x v="1"/>
    <x v="7"/>
    <n v="5"/>
    <n v="7"/>
    <n v="7"/>
  </r>
  <r>
    <n v="52"/>
    <x v="1"/>
    <s v="Travel_Rarely"/>
    <n v="956"/>
    <x v="1"/>
    <n v="6"/>
    <n v="2"/>
    <s v="Technical Degree"/>
    <n v="1"/>
    <n v="630"/>
    <x v="2"/>
    <s v="Male"/>
    <n v="78"/>
    <n v="3"/>
    <n v="2"/>
    <x v="1"/>
    <x v="3"/>
    <s v="Divorced"/>
    <n v="5577"/>
    <n v="22087"/>
    <n v="3"/>
    <s v="Y"/>
    <x v="0"/>
    <n v="12"/>
    <n v="3"/>
    <n v="2"/>
    <n v="80"/>
    <n v="2"/>
    <n v="18"/>
    <n v="3"/>
    <x v="1"/>
    <x v="1"/>
    <n v="9"/>
    <n v="6"/>
    <n v="9"/>
  </r>
  <r>
    <n v="32"/>
    <x v="0"/>
    <s v="Non-Travel"/>
    <n v="1474"/>
    <x v="0"/>
    <n v="11"/>
    <n v="4"/>
    <s v="Other"/>
    <n v="1"/>
    <n v="631"/>
    <x v="2"/>
    <s v="Male"/>
    <n v="60"/>
    <n v="4"/>
    <n v="2"/>
    <x v="0"/>
    <x v="2"/>
    <s v="Married"/>
    <n v="4707"/>
    <n v="23914"/>
    <n v="8"/>
    <s v="Y"/>
    <x v="1"/>
    <n v="12"/>
    <n v="3"/>
    <n v="4"/>
    <n v="80"/>
    <n v="0"/>
    <n v="6"/>
    <n v="2"/>
    <x v="1"/>
    <x v="9"/>
    <n v="2"/>
    <n v="1"/>
    <n v="2"/>
  </r>
  <r>
    <n v="24"/>
    <x v="1"/>
    <s v="Travel_Frequently"/>
    <n v="535"/>
    <x v="0"/>
    <n v="24"/>
    <n v="3"/>
    <s v="Medical"/>
    <n v="1"/>
    <n v="632"/>
    <x v="2"/>
    <s v="Male"/>
    <n v="38"/>
    <n v="3"/>
    <n v="1"/>
    <x v="6"/>
    <x v="0"/>
    <s v="Married"/>
    <n v="2400"/>
    <n v="5530"/>
    <n v="0"/>
    <s v="Y"/>
    <x v="1"/>
    <n v="13"/>
    <n v="3"/>
    <n v="3"/>
    <n v="80"/>
    <n v="2"/>
    <n v="3"/>
    <n v="3"/>
    <x v="1"/>
    <x v="4"/>
    <n v="2"/>
    <n v="2"/>
    <n v="1"/>
  </r>
  <r>
    <n v="38"/>
    <x v="1"/>
    <s v="Travel_Rarely"/>
    <n v="1495"/>
    <x v="1"/>
    <n v="10"/>
    <n v="3"/>
    <s v="Medical"/>
    <n v="1"/>
    <n v="634"/>
    <x v="1"/>
    <s v="Female"/>
    <n v="76"/>
    <n v="3"/>
    <n v="2"/>
    <x v="4"/>
    <x v="2"/>
    <s v="Married"/>
    <n v="9824"/>
    <n v="22174"/>
    <n v="3"/>
    <s v="Y"/>
    <x v="1"/>
    <n v="19"/>
    <n v="3"/>
    <n v="3"/>
    <n v="80"/>
    <n v="1"/>
    <n v="18"/>
    <n v="4"/>
    <x v="1"/>
    <x v="6"/>
    <n v="0"/>
    <n v="0"/>
    <n v="0"/>
  </r>
  <r>
    <n v="37"/>
    <x v="1"/>
    <s v="Travel_Rarely"/>
    <n v="446"/>
    <x v="1"/>
    <n v="1"/>
    <n v="4"/>
    <s v="Life Sciences"/>
    <n v="1"/>
    <n v="635"/>
    <x v="0"/>
    <s v="Female"/>
    <n v="65"/>
    <n v="3"/>
    <n v="2"/>
    <x v="3"/>
    <x v="1"/>
    <s v="Married"/>
    <n v="6447"/>
    <n v="15701"/>
    <n v="6"/>
    <s v="Y"/>
    <x v="1"/>
    <n v="12"/>
    <n v="3"/>
    <n v="2"/>
    <n v="80"/>
    <n v="1"/>
    <n v="8"/>
    <n v="2"/>
    <x v="2"/>
    <x v="0"/>
    <n v="5"/>
    <n v="4"/>
    <n v="3"/>
  </r>
  <r>
    <n v="49"/>
    <x v="1"/>
    <s v="Travel_Rarely"/>
    <n v="1245"/>
    <x v="1"/>
    <n v="18"/>
    <n v="4"/>
    <s v="Life Sciences"/>
    <n v="1"/>
    <n v="638"/>
    <x v="2"/>
    <s v="Male"/>
    <n v="58"/>
    <n v="2"/>
    <n v="5"/>
    <x v="7"/>
    <x v="2"/>
    <s v="Divorced"/>
    <n v="19502"/>
    <n v="2125"/>
    <n v="1"/>
    <s v="Y"/>
    <x v="0"/>
    <n v="17"/>
    <n v="3"/>
    <n v="3"/>
    <n v="80"/>
    <n v="1"/>
    <n v="31"/>
    <n v="5"/>
    <x v="1"/>
    <x v="31"/>
    <n v="9"/>
    <n v="0"/>
    <n v="9"/>
  </r>
  <r>
    <n v="24"/>
    <x v="1"/>
    <s v="Travel_Rarely"/>
    <n v="691"/>
    <x v="1"/>
    <n v="23"/>
    <n v="3"/>
    <s v="Medical"/>
    <n v="1"/>
    <n v="639"/>
    <x v="0"/>
    <s v="Male"/>
    <n v="89"/>
    <n v="4"/>
    <n v="1"/>
    <x v="1"/>
    <x v="0"/>
    <s v="Married"/>
    <n v="2725"/>
    <n v="21630"/>
    <n v="1"/>
    <s v="Y"/>
    <x v="0"/>
    <n v="11"/>
    <n v="3"/>
    <n v="2"/>
    <n v="80"/>
    <n v="2"/>
    <n v="6"/>
    <n v="3"/>
    <x v="1"/>
    <x v="0"/>
    <n v="5"/>
    <n v="1"/>
    <n v="4"/>
  </r>
  <r>
    <n v="26"/>
    <x v="1"/>
    <s v="Travel_Rarely"/>
    <n v="703"/>
    <x v="0"/>
    <n v="28"/>
    <n v="2"/>
    <s v="Marketing"/>
    <n v="1"/>
    <n v="641"/>
    <x v="3"/>
    <s v="Male"/>
    <n v="66"/>
    <n v="3"/>
    <n v="2"/>
    <x v="0"/>
    <x v="1"/>
    <s v="Married"/>
    <n v="6272"/>
    <n v="7428"/>
    <n v="1"/>
    <s v="Y"/>
    <x v="1"/>
    <n v="20"/>
    <n v="4"/>
    <n v="4"/>
    <n v="80"/>
    <n v="2"/>
    <n v="6"/>
    <n v="5"/>
    <x v="3"/>
    <x v="8"/>
    <n v="3"/>
    <n v="1"/>
    <n v="4"/>
  </r>
  <r>
    <n v="24"/>
    <x v="1"/>
    <s v="Travel_Rarely"/>
    <n v="823"/>
    <x v="1"/>
    <n v="17"/>
    <n v="2"/>
    <s v="Other"/>
    <n v="1"/>
    <n v="643"/>
    <x v="2"/>
    <s v="Male"/>
    <n v="94"/>
    <n v="2"/>
    <n v="1"/>
    <x v="2"/>
    <x v="1"/>
    <s v="Married"/>
    <n v="2127"/>
    <n v="9100"/>
    <n v="1"/>
    <s v="Y"/>
    <x v="1"/>
    <n v="21"/>
    <n v="4"/>
    <n v="4"/>
    <n v="80"/>
    <n v="1"/>
    <n v="1"/>
    <n v="2"/>
    <x v="1"/>
    <x v="6"/>
    <n v="0"/>
    <n v="0"/>
    <n v="0"/>
  </r>
  <r>
    <n v="50"/>
    <x v="1"/>
    <s v="Travel_Frequently"/>
    <n v="1246"/>
    <x v="2"/>
    <n v="3"/>
    <n v="3"/>
    <s v="Medical"/>
    <n v="1"/>
    <n v="644"/>
    <x v="3"/>
    <s v="Male"/>
    <n v="99"/>
    <n v="3"/>
    <n v="5"/>
    <x v="5"/>
    <x v="1"/>
    <s v="Married"/>
    <n v="18200"/>
    <n v="7999"/>
    <n v="1"/>
    <s v="Y"/>
    <x v="1"/>
    <n v="11"/>
    <n v="3"/>
    <n v="3"/>
    <n v="80"/>
    <n v="1"/>
    <n v="32"/>
    <n v="2"/>
    <x v="1"/>
    <x v="32"/>
    <n v="5"/>
    <n v="10"/>
    <n v="7"/>
  </r>
  <r>
    <n v="25"/>
    <x v="1"/>
    <s v="Travel_Rarely"/>
    <n v="622"/>
    <x v="0"/>
    <n v="13"/>
    <n v="1"/>
    <s v="Medical"/>
    <n v="1"/>
    <n v="645"/>
    <x v="0"/>
    <s v="Male"/>
    <n v="40"/>
    <n v="3"/>
    <n v="1"/>
    <x v="6"/>
    <x v="2"/>
    <s v="Married"/>
    <n v="2096"/>
    <n v="26376"/>
    <n v="1"/>
    <s v="Y"/>
    <x v="1"/>
    <n v="11"/>
    <n v="3"/>
    <n v="3"/>
    <n v="80"/>
    <n v="0"/>
    <n v="7"/>
    <n v="1"/>
    <x v="1"/>
    <x v="5"/>
    <n v="4"/>
    <n v="0"/>
    <n v="6"/>
  </r>
  <r>
    <n v="24"/>
    <x v="0"/>
    <s v="Travel_Frequently"/>
    <n v="1287"/>
    <x v="1"/>
    <n v="7"/>
    <n v="3"/>
    <s v="Life Sciences"/>
    <n v="1"/>
    <n v="647"/>
    <x v="3"/>
    <s v="Female"/>
    <n v="55"/>
    <n v="3"/>
    <n v="1"/>
    <x v="2"/>
    <x v="2"/>
    <s v="Married"/>
    <n v="2886"/>
    <n v="14168"/>
    <n v="1"/>
    <s v="Y"/>
    <x v="0"/>
    <n v="16"/>
    <n v="3"/>
    <n v="4"/>
    <n v="80"/>
    <n v="1"/>
    <n v="6"/>
    <n v="4"/>
    <x v="1"/>
    <x v="0"/>
    <n v="3"/>
    <n v="1"/>
    <n v="2"/>
  </r>
  <r>
    <n v="30"/>
    <x v="0"/>
    <s v="Travel_Frequently"/>
    <n v="448"/>
    <x v="0"/>
    <n v="12"/>
    <n v="4"/>
    <s v="Life Sciences"/>
    <n v="1"/>
    <n v="648"/>
    <x v="0"/>
    <s v="Male"/>
    <n v="74"/>
    <n v="2"/>
    <n v="1"/>
    <x v="6"/>
    <x v="3"/>
    <s v="Married"/>
    <n v="2033"/>
    <n v="14470"/>
    <n v="1"/>
    <s v="Y"/>
    <x v="1"/>
    <n v="18"/>
    <n v="3"/>
    <n v="3"/>
    <n v="80"/>
    <n v="1"/>
    <n v="1"/>
    <n v="2"/>
    <x v="3"/>
    <x v="6"/>
    <n v="0"/>
    <n v="0"/>
    <n v="0"/>
  </r>
  <r>
    <n v="34"/>
    <x v="1"/>
    <s v="Travel_Rarely"/>
    <n v="254"/>
    <x v="1"/>
    <n v="1"/>
    <n v="2"/>
    <s v="Life Sciences"/>
    <n v="1"/>
    <n v="649"/>
    <x v="0"/>
    <s v="Male"/>
    <n v="83"/>
    <n v="2"/>
    <n v="1"/>
    <x v="1"/>
    <x v="0"/>
    <s v="Married"/>
    <n v="3622"/>
    <n v="22794"/>
    <n v="1"/>
    <s v="Y"/>
    <x v="0"/>
    <n v="13"/>
    <n v="3"/>
    <n v="4"/>
    <n v="80"/>
    <n v="1"/>
    <n v="6"/>
    <n v="3"/>
    <x v="1"/>
    <x v="0"/>
    <n v="5"/>
    <n v="1"/>
    <n v="3"/>
  </r>
  <r>
    <n v="31"/>
    <x v="0"/>
    <s v="Travel_Rarely"/>
    <n v="1365"/>
    <x v="0"/>
    <n v="13"/>
    <n v="4"/>
    <s v="Medical"/>
    <n v="1"/>
    <n v="650"/>
    <x v="0"/>
    <s v="Male"/>
    <n v="46"/>
    <n v="3"/>
    <n v="2"/>
    <x v="0"/>
    <x v="3"/>
    <s v="Divorced"/>
    <n v="4233"/>
    <n v="11512"/>
    <n v="2"/>
    <s v="Y"/>
    <x v="1"/>
    <n v="17"/>
    <n v="3"/>
    <n v="3"/>
    <n v="80"/>
    <n v="0"/>
    <n v="9"/>
    <n v="2"/>
    <x v="0"/>
    <x v="11"/>
    <n v="1"/>
    <n v="1"/>
    <n v="2"/>
  </r>
  <r>
    <n v="35"/>
    <x v="1"/>
    <s v="Travel_Rarely"/>
    <n v="538"/>
    <x v="1"/>
    <n v="25"/>
    <n v="2"/>
    <s v="Other"/>
    <n v="1"/>
    <n v="652"/>
    <x v="3"/>
    <s v="Male"/>
    <n v="54"/>
    <n v="2"/>
    <n v="2"/>
    <x v="2"/>
    <x v="0"/>
    <s v="Single"/>
    <n v="3681"/>
    <n v="14004"/>
    <n v="4"/>
    <s v="Y"/>
    <x v="1"/>
    <n v="14"/>
    <n v="3"/>
    <n v="4"/>
    <n v="80"/>
    <n v="0"/>
    <n v="9"/>
    <n v="3"/>
    <x v="1"/>
    <x v="11"/>
    <n v="2"/>
    <n v="0"/>
    <n v="2"/>
  </r>
  <r>
    <n v="31"/>
    <x v="1"/>
    <s v="Travel_Rarely"/>
    <n v="525"/>
    <x v="0"/>
    <n v="6"/>
    <n v="4"/>
    <s v="Medical"/>
    <n v="1"/>
    <n v="653"/>
    <x v="3"/>
    <s v="Male"/>
    <n v="66"/>
    <n v="4"/>
    <n v="2"/>
    <x v="0"/>
    <x v="0"/>
    <s v="Divorced"/>
    <n v="5460"/>
    <n v="6219"/>
    <n v="4"/>
    <s v="Y"/>
    <x v="1"/>
    <n v="22"/>
    <n v="4"/>
    <n v="4"/>
    <n v="80"/>
    <n v="2"/>
    <n v="13"/>
    <n v="4"/>
    <x v="3"/>
    <x v="5"/>
    <n v="7"/>
    <n v="5"/>
    <n v="7"/>
  </r>
  <r>
    <n v="27"/>
    <x v="1"/>
    <s v="Travel_Rarely"/>
    <n v="798"/>
    <x v="1"/>
    <n v="6"/>
    <n v="4"/>
    <s v="Medical"/>
    <n v="1"/>
    <n v="655"/>
    <x v="3"/>
    <s v="Female"/>
    <n v="66"/>
    <n v="2"/>
    <n v="1"/>
    <x v="1"/>
    <x v="2"/>
    <s v="Divorced"/>
    <n v="2187"/>
    <n v="5013"/>
    <n v="0"/>
    <s v="Y"/>
    <x v="1"/>
    <n v="12"/>
    <n v="3"/>
    <n v="3"/>
    <n v="80"/>
    <n v="2"/>
    <n v="6"/>
    <n v="5"/>
    <x v="2"/>
    <x v="8"/>
    <n v="3"/>
    <n v="0"/>
    <n v="3"/>
  </r>
  <r>
    <n v="37"/>
    <x v="1"/>
    <s v="Travel_Rarely"/>
    <n v="558"/>
    <x v="0"/>
    <n v="2"/>
    <n v="3"/>
    <s v="Marketing"/>
    <n v="1"/>
    <n v="656"/>
    <x v="2"/>
    <s v="Male"/>
    <n v="75"/>
    <n v="3"/>
    <n v="2"/>
    <x v="0"/>
    <x v="2"/>
    <s v="Married"/>
    <n v="9602"/>
    <n v="3010"/>
    <n v="4"/>
    <s v="Y"/>
    <x v="0"/>
    <n v="11"/>
    <n v="3"/>
    <n v="3"/>
    <n v="80"/>
    <n v="1"/>
    <n v="17"/>
    <n v="3"/>
    <x v="2"/>
    <x v="11"/>
    <n v="0"/>
    <n v="1"/>
    <n v="0"/>
  </r>
  <r>
    <n v="20"/>
    <x v="1"/>
    <s v="Travel_Rarely"/>
    <n v="959"/>
    <x v="1"/>
    <n v="1"/>
    <n v="3"/>
    <s v="Life Sciences"/>
    <n v="1"/>
    <n v="657"/>
    <x v="2"/>
    <s v="Female"/>
    <n v="83"/>
    <n v="2"/>
    <n v="1"/>
    <x v="1"/>
    <x v="1"/>
    <s v="Single"/>
    <n v="2836"/>
    <n v="11757"/>
    <n v="1"/>
    <s v="Y"/>
    <x v="1"/>
    <n v="13"/>
    <n v="3"/>
    <n v="4"/>
    <n v="80"/>
    <n v="0"/>
    <n v="1"/>
    <n v="0"/>
    <x v="3"/>
    <x v="6"/>
    <n v="0"/>
    <n v="0"/>
    <n v="0"/>
  </r>
  <r>
    <n v="42"/>
    <x v="1"/>
    <s v="Travel_Rarely"/>
    <n v="622"/>
    <x v="1"/>
    <n v="2"/>
    <n v="4"/>
    <s v="Life Sciences"/>
    <n v="1"/>
    <n v="659"/>
    <x v="1"/>
    <s v="Female"/>
    <n v="81"/>
    <n v="3"/>
    <n v="2"/>
    <x v="4"/>
    <x v="0"/>
    <s v="Married"/>
    <n v="4089"/>
    <n v="5718"/>
    <n v="1"/>
    <s v="Y"/>
    <x v="1"/>
    <n v="13"/>
    <n v="3"/>
    <n v="2"/>
    <n v="80"/>
    <n v="2"/>
    <n v="10"/>
    <n v="4"/>
    <x v="1"/>
    <x v="1"/>
    <n v="2"/>
    <n v="2"/>
    <n v="2"/>
  </r>
  <r>
    <n v="43"/>
    <x v="1"/>
    <s v="Travel_Rarely"/>
    <n v="782"/>
    <x v="1"/>
    <n v="6"/>
    <n v="4"/>
    <s v="Other"/>
    <n v="1"/>
    <n v="661"/>
    <x v="0"/>
    <s v="Male"/>
    <n v="50"/>
    <n v="2"/>
    <n v="4"/>
    <x v="7"/>
    <x v="0"/>
    <s v="Divorced"/>
    <n v="16627"/>
    <n v="2671"/>
    <n v="4"/>
    <s v="Y"/>
    <x v="0"/>
    <n v="14"/>
    <n v="3"/>
    <n v="3"/>
    <n v="80"/>
    <n v="1"/>
    <n v="21"/>
    <n v="3"/>
    <x v="2"/>
    <x v="6"/>
    <n v="0"/>
    <n v="0"/>
    <n v="0"/>
  </r>
  <r>
    <n v="38"/>
    <x v="1"/>
    <s v="Travel_Rarely"/>
    <n v="362"/>
    <x v="1"/>
    <n v="1"/>
    <n v="1"/>
    <s v="Life Sciences"/>
    <n v="1"/>
    <n v="662"/>
    <x v="1"/>
    <s v="Female"/>
    <n v="43"/>
    <n v="3"/>
    <n v="1"/>
    <x v="1"/>
    <x v="3"/>
    <s v="Single"/>
    <n v="2619"/>
    <n v="14561"/>
    <n v="3"/>
    <s v="Y"/>
    <x v="1"/>
    <n v="17"/>
    <n v="3"/>
    <n v="4"/>
    <n v="80"/>
    <n v="0"/>
    <n v="8"/>
    <n v="3"/>
    <x v="2"/>
    <x v="2"/>
    <n v="0"/>
    <n v="0"/>
    <n v="0"/>
  </r>
  <r>
    <n v="43"/>
    <x v="1"/>
    <s v="Travel_Frequently"/>
    <n v="1001"/>
    <x v="1"/>
    <n v="9"/>
    <n v="5"/>
    <s v="Medical"/>
    <n v="1"/>
    <n v="663"/>
    <x v="2"/>
    <s v="Male"/>
    <n v="72"/>
    <n v="3"/>
    <n v="2"/>
    <x v="2"/>
    <x v="2"/>
    <s v="Divorced"/>
    <n v="5679"/>
    <n v="19627"/>
    <n v="3"/>
    <s v="Y"/>
    <x v="0"/>
    <n v="13"/>
    <n v="3"/>
    <n v="2"/>
    <n v="80"/>
    <n v="1"/>
    <n v="10"/>
    <n v="3"/>
    <x v="1"/>
    <x v="3"/>
    <n v="7"/>
    <n v="4"/>
    <n v="7"/>
  </r>
  <r>
    <n v="48"/>
    <x v="1"/>
    <s v="Travel_Rarely"/>
    <n v="1236"/>
    <x v="1"/>
    <n v="1"/>
    <n v="4"/>
    <s v="Life Sciences"/>
    <n v="1"/>
    <n v="664"/>
    <x v="2"/>
    <s v="Female"/>
    <n v="40"/>
    <n v="2"/>
    <n v="4"/>
    <x v="5"/>
    <x v="3"/>
    <s v="Married"/>
    <n v="15402"/>
    <n v="17997"/>
    <n v="7"/>
    <s v="Y"/>
    <x v="1"/>
    <n v="11"/>
    <n v="3"/>
    <n v="1"/>
    <n v="80"/>
    <n v="1"/>
    <n v="21"/>
    <n v="3"/>
    <x v="0"/>
    <x v="11"/>
    <n v="2"/>
    <n v="0"/>
    <n v="2"/>
  </r>
  <r>
    <n v="44"/>
    <x v="1"/>
    <s v="Travel_Rarely"/>
    <n v="1112"/>
    <x v="2"/>
    <n v="1"/>
    <n v="4"/>
    <s v="Life Sciences"/>
    <n v="1"/>
    <n v="665"/>
    <x v="3"/>
    <s v="Female"/>
    <n v="50"/>
    <n v="2"/>
    <n v="2"/>
    <x v="8"/>
    <x v="2"/>
    <s v="Single"/>
    <n v="5985"/>
    <n v="26894"/>
    <n v="4"/>
    <s v="Y"/>
    <x v="1"/>
    <n v="11"/>
    <n v="3"/>
    <n v="2"/>
    <n v="80"/>
    <n v="0"/>
    <n v="10"/>
    <n v="1"/>
    <x v="3"/>
    <x v="4"/>
    <n v="2"/>
    <n v="0"/>
    <n v="2"/>
  </r>
  <r>
    <n v="34"/>
    <x v="1"/>
    <s v="Travel_Rarely"/>
    <n v="204"/>
    <x v="0"/>
    <n v="14"/>
    <n v="3"/>
    <s v="Technical Degree"/>
    <n v="1"/>
    <n v="666"/>
    <x v="1"/>
    <s v="Female"/>
    <n v="31"/>
    <n v="3"/>
    <n v="1"/>
    <x v="6"/>
    <x v="2"/>
    <s v="Divorced"/>
    <n v="2579"/>
    <n v="2912"/>
    <n v="1"/>
    <s v="Y"/>
    <x v="0"/>
    <n v="18"/>
    <n v="3"/>
    <n v="4"/>
    <n v="80"/>
    <n v="2"/>
    <n v="8"/>
    <n v="3"/>
    <x v="1"/>
    <x v="3"/>
    <n v="2"/>
    <n v="0"/>
    <n v="6"/>
  </r>
  <r>
    <n v="27"/>
    <x v="0"/>
    <s v="Travel_Rarely"/>
    <n v="1420"/>
    <x v="0"/>
    <n v="2"/>
    <n v="1"/>
    <s v="Marketing"/>
    <n v="1"/>
    <n v="667"/>
    <x v="1"/>
    <s v="Male"/>
    <n v="85"/>
    <n v="3"/>
    <n v="1"/>
    <x v="6"/>
    <x v="3"/>
    <s v="Divorced"/>
    <n v="3041"/>
    <n v="16346"/>
    <n v="0"/>
    <s v="Y"/>
    <x v="1"/>
    <n v="11"/>
    <n v="3"/>
    <n v="2"/>
    <n v="80"/>
    <n v="1"/>
    <n v="5"/>
    <n v="3"/>
    <x v="1"/>
    <x v="9"/>
    <n v="3"/>
    <n v="0"/>
    <n v="2"/>
  </r>
  <r>
    <n v="21"/>
    <x v="1"/>
    <s v="Travel_Rarely"/>
    <n v="1343"/>
    <x v="0"/>
    <n v="22"/>
    <n v="1"/>
    <s v="Technical Degree"/>
    <n v="1"/>
    <n v="669"/>
    <x v="1"/>
    <s v="Male"/>
    <n v="49"/>
    <n v="3"/>
    <n v="1"/>
    <x v="6"/>
    <x v="2"/>
    <s v="Single"/>
    <n v="3447"/>
    <n v="24444"/>
    <n v="1"/>
    <s v="Y"/>
    <x v="1"/>
    <n v="11"/>
    <n v="3"/>
    <n v="3"/>
    <n v="80"/>
    <n v="0"/>
    <n v="3"/>
    <n v="2"/>
    <x v="1"/>
    <x v="11"/>
    <n v="2"/>
    <n v="1"/>
    <n v="2"/>
  </r>
  <r>
    <n v="44"/>
    <x v="1"/>
    <s v="Travel_Rarely"/>
    <n v="1315"/>
    <x v="1"/>
    <n v="3"/>
    <n v="4"/>
    <s v="Other"/>
    <n v="1"/>
    <n v="671"/>
    <x v="2"/>
    <s v="Male"/>
    <n v="35"/>
    <n v="3"/>
    <n v="5"/>
    <x v="5"/>
    <x v="0"/>
    <s v="Married"/>
    <n v="19513"/>
    <n v="9358"/>
    <n v="4"/>
    <s v="Y"/>
    <x v="0"/>
    <n v="12"/>
    <n v="3"/>
    <n v="1"/>
    <n v="80"/>
    <n v="1"/>
    <n v="26"/>
    <n v="2"/>
    <x v="3"/>
    <x v="4"/>
    <n v="2"/>
    <n v="0"/>
    <n v="1"/>
  </r>
  <r>
    <n v="22"/>
    <x v="1"/>
    <s v="Travel_Rarely"/>
    <n v="604"/>
    <x v="1"/>
    <n v="6"/>
    <n v="1"/>
    <s v="Medical"/>
    <n v="1"/>
    <n v="675"/>
    <x v="3"/>
    <s v="Male"/>
    <n v="69"/>
    <n v="3"/>
    <n v="1"/>
    <x v="1"/>
    <x v="2"/>
    <s v="Married"/>
    <n v="2773"/>
    <n v="12145"/>
    <n v="0"/>
    <s v="Y"/>
    <x v="1"/>
    <n v="20"/>
    <n v="4"/>
    <n v="4"/>
    <n v="80"/>
    <n v="0"/>
    <n v="3"/>
    <n v="3"/>
    <x v="1"/>
    <x v="4"/>
    <n v="2"/>
    <n v="2"/>
    <n v="2"/>
  </r>
  <r>
    <n v="33"/>
    <x v="1"/>
    <s v="Travel_Rarely"/>
    <n v="1216"/>
    <x v="0"/>
    <n v="8"/>
    <n v="4"/>
    <s v="Marketing"/>
    <n v="1"/>
    <n v="677"/>
    <x v="1"/>
    <s v="Male"/>
    <n v="39"/>
    <n v="3"/>
    <n v="2"/>
    <x v="0"/>
    <x v="2"/>
    <s v="Divorced"/>
    <n v="7104"/>
    <n v="20431"/>
    <n v="0"/>
    <s v="Y"/>
    <x v="1"/>
    <n v="12"/>
    <n v="3"/>
    <n v="4"/>
    <n v="80"/>
    <n v="0"/>
    <n v="6"/>
    <n v="3"/>
    <x v="1"/>
    <x v="8"/>
    <n v="0"/>
    <n v="1"/>
    <n v="2"/>
  </r>
  <r>
    <n v="32"/>
    <x v="1"/>
    <s v="Travel_Rarely"/>
    <n v="646"/>
    <x v="1"/>
    <n v="9"/>
    <n v="4"/>
    <s v="Life Sciences"/>
    <n v="1"/>
    <n v="679"/>
    <x v="3"/>
    <s v="Female"/>
    <n v="92"/>
    <n v="3"/>
    <n v="2"/>
    <x v="1"/>
    <x v="0"/>
    <s v="Married"/>
    <n v="6322"/>
    <n v="18089"/>
    <n v="1"/>
    <s v="Y"/>
    <x v="0"/>
    <n v="12"/>
    <n v="3"/>
    <n v="4"/>
    <n v="80"/>
    <n v="1"/>
    <n v="6"/>
    <n v="2"/>
    <x v="2"/>
    <x v="0"/>
    <n v="4"/>
    <n v="0"/>
    <n v="5"/>
  </r>
  <r>
    <n v="30"/>
    <x v="1"/>
    <s v="Travel_Frequently"/>
    <n v="160"/>
    <x v="1"/>
    <n v="3"/>
    <n v="3"/>
    <s v="Medical"/>
    <n v="1"/>
    <n v="680"/>
    <x v="1"/>
    <s v="Female"/>
    <n v="71"/>
    <n v="3"/>
    <n v="1"/>
    <x v="1"/>
    <x v="2"/>
    <s v="Divorced"/>
    <n v="2083"/>
    <n v="22653"/>
    <n v="1"/>
    <s v="Y"/>
    <x v="1"/>
    <n v="20"/>
    <n v="4"/>
    <n v="3"/>
    <n v="80"/>
    <n v="1"/>
    <n v="1"/>
    <n v="2"/>
    <x v="1"/>
    <x v="6"/>
    <n v="0"/>
    <n v="0"/>
    <n v="0"/>
  </r>
  <r>
    <n v="53"/>
    <x v="1"/>
    <s v="Travel_Rarely"/>
    <n v="238"/>
    <x v="0"/>
    <n v="1"/>
    <n v="1"/>
    <s v="Medical"/>
    <n v="1"/>
    <n v="682"/>
    <x v="2"/>
    <s v="Female"/>
    <n v="34"/>
    <n v="3"/>
    <n v="2"/>
    <x v="0"/>
    <x v="3"/>
    <s v="Single"/>
    <n v="8381"/>
    <n v="7507"/>
    <n v="7"/>
    <s v="Y"/>
    <x v="1"/>
    <n v="20"/>
    <n v="4"/>
    <n v="4"/>
    <n v="80"/>
    <n v="0"/>
    <n v="18"/>
    <n v="2"/>
    <x v="3"/>
    <x v="13"/>
    <n v="7"/>
    <n v="8"/>
    <n v="10"/>
  </r>
  <r>
    <n v="34"/>
    <x v="1"/>
    <s v="Travel_Rarely"/>
    <n v="1397"/>
    <x v="1"/>
    <n v="1"/>
    <n v="5"/>
    <s v="Life Sciences"/>
    <n v="1"/>
    <n v="683"/>
    <x v="0"/>
    <s v="Male"/>
    <n v="42"/>
    <n v="3"/>
    <n v="1"/>
    <x v="1"/>
    <x v="0"/>
    <s v="Married"/>
    <n v="2691"/>
    <n v="7660"/>
    <n v="1"/>
    <s v="Y"/>
    <x v="1"/>
    <n v="12"/>
    <n v="3"/>
    <n v="4"/>
    <n v="80"/>
    <n v="1"/>
    <n v="10"/>
    <n v="4"/>
    <x v="2"/>
    <x v="1"/>
    <n v="9"/>
    <n v="8"/>
    <n v="8"/>
  </r>
  <r>
    <n v="45"/>
    <x v="0"/>
    <s v="Travel_Frequently"/>
    <n v="306"/>
    <x v="0"/>
    <n v="26"/>
    <n v="4"/>
    <s v="Life Sciences"/>
    <n v="1"/>
    <n v="684"/>
    <x v="3"/>
    <s v="Female"/>
    <n v="100"/>
    <n v="3"/>
    <n v="2"/>
    <x v="0"/>
    <x v="3"/>
    <s v="Married"/>
    <n v="4286"/>
    <n v="5630"/>
    <n v="2"/>
    <s v="Y"/>
    <x v="1"/>
    <n v="14"/>
    <n v="3"/>
    <n v="4"/>
    <n v="80"/>
    <n v="2"/>
    <n v="5"/>
    <n v="4"/>
    <x v="1"/>
    <x v="6"/>
    <n v="1"/>
    <n v="0"/>
    <n v="0"/>
  </r>
  <r>
    <n v="26"/>
    <x v="1"/>
    <s v="Travel_Rarely"/>
    <n v="991"/>
    <x v="1"/>
    <n v="6"/>
    <n v="3"/>
    <s v="Life Sciences"/>
    <n v="1"/>
    <n v="686"/>
    <x v="1"/>
    <s v="Female"/>
    <n v="71"/>
    <n v="3"/>
    <n v="1"/>
    <x v="2"/>
    <x v="0"/>
    <s v="Married"/>
    <n v="2659"/>
    <n v="17759"/>
    <n v="1"/>
    <s v="Y"/>
    <x v="0"/>
    <n v="13"/>
    <n v="3"/>
    <n v="3"/>
    <n v="80"/>
    <n v="1"/>
    <n v="3"/>
    <n v="2"/>
    <x v="1"/>
    <x v="11"/>
    <n v="2"/>
    <n v="0"/>
    <n v="2"/>
  </r>
  <r>
    <n v="37"/>
    <x v="1"/>
    <s v="Travel_Rarely"/>
    <n v="482"/>
    <x v="1"/>
    <n v="3"/>
    <n v="3"/>
    <s v="Other"/>
    <n v="1"/>
    <n v="689"/>
    <x v="1"/>
    <s v="Male"/>
    <n v="36"/>
    <n v="3"/>
    <n v="3"/>
    <x v="3"/>
    <x v="2"/>
    <s v="Married"/>
    <n v="9434"/>
    <n v="9606"/>
    <n v="1"/>
    <s v="Y"/>
    <x v="1"/>
    <n v="15"/>
    <n v="3"/>
    <n v="3"/>
    <n v="80"/>
    <n v="1"/>
    <n v="10"/>
    <n v="2"/>
    <x v="1"/>
    <x v="1"/>
    <n v="7"/>
    <n v="7"/>
    <n v="8"/>
  </r>
  <r>
    <n v="29"/>
    <x v="1"/>
    <s v="Travel_Rarely"/>
    <n v="1176"/>
    <x v="0"/>
    <n v="3"/>
    <n v="2"/>
    <s v="Medical"/>
    <n v="1"/>
    <n v="690"/>
    <x v="0"/>
    <s v="Female"/>
    <n v="62"/>
    <n v="3"/>
    <n v="2"/>
    <x v="0"/>
    <x v="2"/>
    <s v="Married"/>
    <n v="5561"/>
    <n v="3487"/>
    <n v="1"/>
    <s v="Y"/>
    <x v="1"/>
    <n v="14"/>
    <n v="3"/>
    <n v="1"/>
    <n v="80"/>
    <n v="1"/>
    <n v="6"/>
    <n v="5"/>
    <x v="2"/>
    <x v="0"/>
    <n v="0"/>
    <n v="1"/>
    <n v="2"/>
  </r>
  <r>
    <n v="35"/>
    <x v="1"/>
    <s v="Travel_Rarely"/>
    <n v="1017"/>
    <x v="1"/>
    <n v="6"/>
    <n v="4"/>
    <s v="Life Sciences"/>
    <n v="1"/>
    <n v="691"/>
    <x v="0"/>
    <s v="Male"/>
    <n v="82"/>
    <n v="1"/>
    <n v="2"/>
    <x v="1"/>
    <x v="0"/>
    <s v="Single"/>
    <n v="6646"/>
    <n v="19368"/>
    <n v="1"/>
    <s v="Y"/>
    <x v="1"/>
    <n v="13"/>
    <n v="3"/>
    <n v="2"/>
    <n v="80"/>
    <n v="0"/>
    <n v="17"/>
    <n v="3"/>
    <x v="1"/>
    <x v="18"/>
    <n v="11"/>
    <n v="11"/>
    <n v="8"/>
  </r>
  <r>
    <n v="33"/>
    <x v="1"/>
    <s v="Travel_Frequently"/>
    <n v="1296"/>
    <x v="1"/>
    <n v="6"/>
    <n v="3"/>
    <s v="Life Sciences"/>
    <n v="1"/>
    <n v="692"/>
    <x v="1"/>
    <s v="Male"/>
    <n v="30"/>
    <n v="3"/>
    <n v="2"/>
    <x v="4"/>
    <x v="0"/>
    <s v="Divorced"/>
    <n v="7725"/>
    <n v="5335"/>
    <n v="3"/>
    <s v="Y"/>
    <x v="1"/>
    <n v="23"/>
    <n v="4"/>
    <n v="3"/>
    <n v="80"/>
    <n v="1"/>
    <n v="15"/>
    <n v="2"/>
    <x v="0"/>
    <x v="20"/>
    <n v="11"/>
    <n v="4"/>
    <n v="7"/>
  </r>
  <r>
    <n v="54"/>
    <x v="1"/>
    <s v="Travel_Rarely"/>
    <n v="397"/>
    <x v="2"/>
    <n v="19"/>
    <n v="4"/>
    <s v="Medical"/>
    <n v="1"/>
    <n v="698"/>
    <x v="1"/>
    <s v="Male"/>
    <n v="88"/>
    <n v="3"/>
    <n v="3"/>
    <x v="8"/>
    <x v="1"/>
    <s v="Married"/>
    <n v="10725"/>
    <n v="6729"/>
    <n v="2"/>
    <s v="Y"/>
    <x v="1"/>
    <n v="15"/>
    <n v="3"/>
    <n v="3"/>
    <n v="80"/>
    <n v="1"/>
    <n v="16"/>
    <n v="1"/>
    <x v="3"/>
    <x v="7"/>
    <n v="7"/>
    <n v="7"/>
    <n v="1"/>
  </r>
  <r>
    <n v="36"/>
    <x v="1"/>
    <s v="Travel_Rarely"/>
    <n v="913"/>
    <x v="1"/>
    <n v="9"/>
    <n v="2"/>
    <s v="Medical"/>
    <n v="1"/>
    <n v="699"/>
    <x v="0"/>
    <s v="Male"/>
    <n v="48"/>
    <n v="2"/>
    <n v="2"/>
    <x v="3"/>
    <x v="1"/>
    <s v="Divorced"/>
    <n v="8847"/>
    <n v="13934"/>
    <n v="2"/>
    <s v="Y"/>
    <x v="0"/>
    <n v="11"/>
    <n v="3"/>
    <n v="3"/>
    <n v="80"/>
    <n v="1"/>
    <n v="13"/>
    <n v="2"/>
    <x v="1"/>
    <x v="11"/>
    <n v="2"/>
    <n v="0"/>
    <n v="2"/>
  </r>
  <r>
    <n v="27"/>
    <x v="1"/>
    <s v="Travel_Rarely"/>
    <n v="1115"/>
    <x v="1"/>
    <n v="3"/>
    <n v="4"/>
    <s v="Medical"/>
    <n v="1"/>
    <n v="700"/>
    <x v="3"/>
    <s v="Male"/>
    <n v="54"/>
    <n v="2"/>
    <n v="1"/>
    <x v="1"/>
    <x v="0"/>
    <s v="Single"/>
    <n v="2045"/>
    <n v="15174"/>
    <n v="0"/>
    <s v="Y"/>
    <x v="1"/>
    <n v="13"/>
    <n v="3"/>
    <n v="4"/>
    <n v="80"/>
    <n v="0"/>
    <n v="5"/>
    <n v="0"/>
    <x v="1"/>
    <x v="9"/>
    <n v="2"/>
    <n v="1"/>
    <n v="1"/>
  </r>
  <r>
    <n v="20"/>
    <x v="0"/>
    <s v="Travel_Rarely"/>
    <n v="1362"/>
    <x v="1"/>
    <n v="10"/>
    <n v="1"/>
    <s v="Medical"/>
    <n v="1"/>
    <n v="701"/>
    <x v="2"/>
    <s v="Male"/>
    <n v="32"/>
    <n v="3"/>
    <n v="1"/>
    <x v="1"/>
    <x v="2"/>
    <s v="Single"/>
    <n v="1009"/>
    <n v="26999"/>
    <n v="1"/>
    <s v="Y"/>
    <x v="0"/>
    <n v="11"/>
    <n v="3"/>
    <n v="4"/>
    <n v="80"/>
    <n v="0"/>
    <n v="1"/>
    <n v="5"/>
    <x v="1"/>
    <x v="6"/>
    <n v="0"/>
    <n v="1"/>
    <n v="1"/>
  </r>
  <r>
    <n v="33"/>
    <x v="0"/>
    <s v="Travel_Frequently"/>
    <n v="1076"/>
    <x v="1"/>
    <n v="3"/>
    <n v="3"/>
    <s v="Life Sciences"/>
    <n v="1"/>
    <n v="702"/>
    <x v="3"/>
    <s v="Male"/>
    <n v="70"/>
    <n v="3"/>
    <n v="1"/>
    <x v="1"/>
    <x v="3"/>
    <s v="Single"/>
    <n v="3348"/>
    <n v="3164"/>
    <n v="1"/>
    <s v="Y"/>
    <x v="0"/>
    <n v="11"/>
    <n v="3"/>
    <n v="1"/>
    <n v="80"/>
    <n v="0"/>
    <n v="10"/>
    <n v="3"/>
    <x v="1"/>
    <x v="1"/>
    <n v="8"/>
    <n v="9"/>
    <n v="7"/>
  </r>
  <r>
    <n v="35"/>
    <x v="1"/>
    <s v="Non-Travel"/>
    <n v="727"/>
    <x v="1"/>
    <n v="3"/>
    <n v="3"/>
    <s v="Life Sciences"/>
    <n v="1"/>
    <n v="704"/>
    <x v="1"/>
    <s v="Male"/>
    <n v="41"/>
    <n v="2"/>
    <n v="1"/>
    <x v="2"/>
    <x v="2"/>
    <s v="Married"/>
    <n v="1281"/>
    <n v="16900"/>
    <n v="1"/>
    <s v="Y"/>
    <x v="1"/>
    <n v="18"/>
    <n v="3"/>
    <n v="3"/>
    <n v="80"/>
    <n v="2"/>
    <n v="1"/>
    <n v="3"/>
    <x v="1"/>
    <x v="6"/>
    <n v="0"/>
    <n v="0"/>
    <n v="0"/>
  </r>
  <r>
    <n v="23"/>
    <x v="1"/>
    <s v="Travel_Rarely"/>
    <n v="885"/>
    <x v="1"/>
    <n v="4"/>
    <n v="3"/>
    <s v="Medical"/>
    <n v="1"/>
    <n v="705"/>
    <x v="3"/>
    <s v="Male"/>
    <n v="58"/>
    <n v="4"/>
    <n v="1"/>
    <x v="1"/>
    <x v="3"/>
    <s v="Married"/>
    <n v="2819"/>
    <n v="8544"/>
    <n v="2"/>
    <s v="Y"/>
    <x v="1"/>
    <n v="16"/>
    <n v="3"/>
    <n v="1"/>
    <n v="80"/>
    <n v="1"/>
    <n v="5"/>
    <n v="3"/>
    <x v="3"/>
    <x v="11"/>
    <n v="2"/>
    <n v="0"/>
    <n v="2"/>
  </r>
  <r>
    <n v="25"/>
    <x v="1"/>
    <s v="Travel_Rarely"/>
    <n v="810"/>
    <x v="0"/>
    <n v="8"/>
    <n v="3"/>
    <s v="Life Sciences"/>
    <n v="1"/>
    <n v="707"/>
    <x v="2"/>
    <s v="Male"/>
    <n v="57"/>
    <n v="4"/>
    <n v="2"/>
    <x v="0"/>
    <x v="1"/>
    <s v="Married"/>
    <n v="4851"/>
    <n v="15678"/>
    <n v="0"/>
    <s v="Y"/>
    <x v="1"/>
    <n v="22"/>
    <n v="4"/>
    <n v="3"/>
    <n v="80"/>
    <n v="1"/>
    <n v="4"/>
    <n v="4"/>
    <x v="1"/>
    <x v="11"/>
    <n v="2"/>
    <n v="1"/>
    <n v="2"/>
  </r>
  <r>
    <n v="38"/>
    <x v="1"/>
    <s v="Travel_Rarely"/>
    <n v="243"/>
    <x v="0"/>
    <n v="7"/>
    <n v="4"/>
    <s v="Marketing"/>
    <n v="1"/>
    <n v="709"/>
    <x v="2"/>
    <s v="Female"/>
    <n v="46"/>
    <n v="2"/>
    <n v="2"/>
    <x v="0"/>
    <x v="0"/>
    <s v="Single"/>
    <n v="4028"/>
    <n v="7791"/>
    <n v="0"/>
    <s v="Y"/>
    <x v="1"/>
    <n v="20"/>
    <n v="4"/>
    <n v="1"/>
    <n v="80"/>
    <n v="0"/>
    <n v="8"/>
    <n v="2"/>
    <x v="1"/>
    <x v="5"/>
    <n v="7"/>
    <n v="0"/>
    <n v="5"/>
  </r>
  <r>
    <n v="29"/>
    <x v="1"/>
    <s v="Travel_Frequently"/>
    <n v="806"/>
    <x v="1"/>
    <n v="1"/>
    <n v="4"/>
    <s v="Life Sciences"/>
    <n v="1"/>
    <n v="710"/>
    <x v="0"/>
    <s v="Male"/>
    <n v="76"/>
    <n v="1"/>
    <n v="1"/>
    <x v="1"/>
    <x v="0"/>
    <s v="Divorced"/>
    <n v="2720"/>
    <n v="18959"/>
    <n v="1"/>
    <s v="Y"/>
    <x v="1"/>
    <n v="18"/>
    <n v="3"/>
    <n v="4"/>
    <n v="80"/>
    <n v="1"/>
    <n v="10"/>
    <n v="5"/>
    <x v="1"/>
    <x v="1"/>
    <n v="7"/>
    <n v="2"/>
    <n v="8"/>
  </r>
  <r>
    <n v="48"/>
    <x v="1"/>
    <s v="Travel_Rarely"/>
    <n v="817"/>
    <x v="0"/>
    <n v="2"/>
    <n v="1"/>
    <s v="Marketing"/>
    <n v="1"/>
    <n v="712"/>
    <x v="0"/>
    <s v="Male"/>
    <n v="56"/>
    <n v="4"/>
    <n v="2"/>
    <x v="0"/>
    <x v="1"/>
    <s v="Married"/>
    <n v="8120"/>
    <n v="18597"/>
    <n v="3"/>
    <s v="Y"/>
    <x v="1"/>
    <n v="12"/>
    <n v="3"/>
    <n v="4"/>
    <n v="80"/>
    <n v="0"/>
    <n v="12"/>
    <n v="3"/>
    <x v="1"/>
    <x v="4"/>
    <n v="2"/>
    <n v="2"/>
    <n v="2"/>
  </r>
  <r>
    <n v="27"/>
    <x v="1"/>
    <s v="Travel_Frequently"/>
    <n v="1410"/>
    <x v="0"/>
    <n v="3"/>
    <n v="1"/>
    <s v="Medical"/>
    <n v="1"/>
    <n v="714"/>
    <x v="2"/>
    <s v="Female"/>
    <n v="71"/>
    <n v="4"/>
    <n v="2"/>
    <x v="0"/>
    <x v="0"/>
    <s v="Divorced"/>
    <n v="4647"/>
    <n v="16673"/>
    <n v="1"/>
    <s v="Y"/>
    <x v="0"/>
    <n v="20"/>
    <n v="4"/>
    <n v="2"/>
    <n v="80"/>
    <n v="2"/>
    <n v="6"/>
    <n v="3"/>
    <x v="1"/>
    <x v="0"/>
    <n v="5"/>
    <n v="0"/>
    <n v="4"/>
  </r>
  <r>
    <n v="37"/>
    <x v="1"/>
    <s v="Travel_Rarely"/>
    <n v="1225"/>
    <x v="1"/>
    <n v="10"/>
    <n v="2"/>
    <s v="Life Sciences"/>
    <n v="1"/>
    <n v="715"/>
    <x v="2"/>
    <s v="Male"/>
    <n v="80"/>
    <n v="4"/>
    <n v="1"/>
    <x v="1"/>
    <x v="0"/>
    <s v="Single"/>
    <n v="4680"/>
    <n v="15232"/>
    <n v="3"/>
    <s v="Y"/>
    <x v="1"/>
    <n v="17"/>
    <n v="3"/>
    <n v="1"/>
    <n v="80"/>
    <n v="0"/>
    <n v="4"/>
    <n v="2"/>
    <x v="1"/>
    <x v="6"/>
    <n v="0"/>
    <n v="0"/>
    <n v="0"/>
  </r>
  <r>
    <n v="50"/>
    <x v="1"/>
    <s v="Travel_Rarely"/>
    <n v="1207"/>
    <x v="1"/>
    <n v="28"/>
    <n v="1"/>
    <s v="Medical"/>
    <n v="1"/>
    <n v="716"/>
    <x v="2"/>
    <s v="Male"/>
    <n v="74"/>
    <n v="4"/>
    <n v="1"/>
    <x v="2"/>
    <x v="2"/>
    <s v="Married"/>
    <n v="3221"/>
    <n v="3297"/>
    <n v="1"/>
    <s v="Y"/>
    <x v="0"/>
    <n v="11"/>
    <n v="3"/>
    <n v="3"/>
    <n v="80"/>
    <n v="3"/>
    <n v="20"/>
    <n v="3"/>
    <x v="1"/>
    <x v="23"/>
    <n v="8"/>
    <n v="3"/>
    <n v="8"/>
  </r>
  <r>
    <n v="34"/>
    <x v="1"/>
    <s v="Travel_Rarely"/>
    <n v="1442"/>
    <x v="1"/>
    <n v="9"/>
    <n v="3"/>
    <s v="Medical"/>
    <n v="1"/>
    <n v="717"/>
    <x v="2"/>
    <s v="Female"/>
    <n v="46"/>
    <n v="2"/>
    <n v="3"/>
    <x v="4"/>
    <x v="1"/>
    <s v="Single"/>
    <n v="8621"/>
    <n v="17654"/>
    <n v="1"/>
    <s v="Y"/>
    <x v="1"/>
    <n v="14"/>
    <n v="3"/>
    <n v="2"/>
    <n v="80"/>
    <n v="0"/>
    <n v="9"/>
    <n v="3"/>
    <x v="3"/>
    <x v="3"/>
    <n v="7"/>
    <n v="7"/>
    <n v="7"/>
  </r>
  <r>
    <n v="24"/>
    <x v="0"/>
    <s v="Travel_Rarely"/>
    <n v="693"/>
    <x v="0"/>
    <n v="3"/>
    <n v="2"/>
    <s v="Life Sciences"/>
    <n v="1"/>
    <n v="720"/>
    <x v="3"/>
    <s v="Female"/>
    <n v="65"/>
    <n v="3"/>
    <n v="2"/>
    <x v="0"/>
    <x v="2"/>
    <s v="Single"/>
    <n v="4577"/>
    <n v="24785"/>
    <n v="9"/>
    <s v="Y"/>
    <x v="1"/>
    <n v="14"/>
    <n v="3"/>
    <n v="1"/>
    <n v="80"/>
    <n v="0"/>
    <n v="4"/>
    <n v="3"/>
    <x v="1"/>
    <x v="4"/>
    <n v="2"/>
    <n v="2"/>
    <n v="0"/>
  </r>
  <r>
    <n v="39"/>
    <x v="1"/>
    <s v="Travel_Rarely"/>
    <n v="408"/>
    <x v="1"/>
    <n v="2"/>
    <n v="4"/>
    <s v="Technical Degree"/>
    <n v="1"/>
    <n v="721"/>
    <x v="2"/>
    <s v="Female"/>
    <n v="80"/>
    <n v="2"/>
    <n v="2"/>
    <x v="4"/>
    <x v="2"/>
    <s v="Single"/>
    <n v="4553"/>
    <n v="20978"/>
    <n v="1"/>
    <s v="Y"/>
    <x v="1"/>
    <n v="11"/>
    <n v="3"/>
    <n v="1"/>
    <n v="80"/>
    <n v="0"/>
    <n v="20"/>
    <n v="4"/>
    <x v="1"/>
    <x v="23"/>
    <n v="7"/>
    <n v="11"/>
    <n v="10"/>
  </r>
  <r>
    <n v="32"/>
    <x v="1"/>
    <s v="Travel_Rarely"/>
    <n v="929"/>
    <x v="0"/>
    <n v="10"/>
    <n v="3"/>
    <s v="Marketing"/>
    <n v="1"/>
    <n v="722"/>
    <x v="2"/>
    <s v="Male"/>
    <n v="55"/>
    <n v="3"/>
    <n v="2"/>
    <x v="0"/>
    <x v="0"/>
    <s v="Single"/>
    <n v="5396"/>
    <n v="21703"/>
    <n v="1"/>
    <s v="Y"/>
    <x v="1"/>
    <n v="12"/>
    <n v="3"/>
    <n v="4"/>
    <n v="80"/>
    <n v="0"/>
    <n v="10"/>
    <n v="2"/>
    <x v="2"/>
    <x v="1"/>
    <n v="7"/>
    <n v="0"/>
    <n v="8"/>
  </r>
  <r>
    <n v="50"/>
    <x v="0"/>
    <s v="Travel_Frequently"/>
    <n v="562"/>
    <x v="0"/>
    <n v="8"/>
    <n v="2"/>
    <s v="Technical Degree"/>
    <n v="1"/>
    <n v="723"/>
    <x v="0"/>
    <s v="Male"/>
    <n v="50"/>
    <n v="3"/>
    <n v="2"/>
    <x v="0"/>
    <x v="2"/>
    <s v="Married"/>
    <n v="6796"/>
    <n v="23452"/>
    <n v="3"/>
    <s v="Y"/>
    <x v="0"/>
    <n v="14"/>
    <n v="3"/>
    <n v="1"/>
    <n v="80"/>
    <n v="1"/>
    <n v="18"/>
    <n v="4"/>
    <x v="1"/>
    <x v="9"/>
    <n v="3"/>
    <n v="1"/>
    <n v="3"/>
  </r>
  <r>
    <n v="38"/>
    <x v="1"/>
    <s v="Travel_Rarely"/>
    <n v="827"/>
    <x v="1"/>
    <n v="1"/>
    <n v="4"/>
    <s v="Life Sciences"/>
    <n v="1"/>
    <n v="724"/>
    <x v="0"/>
    <s v="Female"/>
    <n v="33"/>
    <n v="4"/>
    <n v="2"/>
    <x v="4"/>
    <x v="0"/>
    <s v="Single"/>
    <n v="7625"/>
    <n v="19383"/>
    <n v="0"/>
    <s v="Y"/>
    <x v="1"/>
    <n v="13"/>
    <n v="3"/>
    <n v="3"/>
    <n v="80"/>
    <n v="0"/>
    <n v="10"/>
    <n v="4"/>
    <x v="2"/>
    <x v="7"/>
    <n v="7"/>
    <n v="1"/>
    <n v="8"/>
  </r>
  <r>
    <n v="27"/>
    <x v="1"/>
    <s v="Travel_Rarely"/>
    <n v="608"/>
    <x v="1"/>
    <n v="1"/>
    <n v="2"/>
    <s v="Life Sciences"/>
    <n v="1"/>
    <n v="725"/>
    <x v="1"/>
    <s v="Female"/>
    <n v="68"/>
    <n v="3"/>
    <n v="3"/>
    <x v="3"/>
    <x v="3"/>
    <s v="Married"/>
    <n v="7412"/>
    <n v="6009"/>
    <n v="1"/>
    <s v="Y"/>
    <x v="1"/>
    <n v="11"/>
    <n v="3"/>
    <n v="4"/>
    <n v="80"/>
    <n v="0"/>
    <n v="9"/>
    <n v="3"/>
    <x v="1"/>
    <x v="7"/>
    <n v="7"/>
    <n v="0"/>
    <n v="7"/>
  </r>
  <r>
    <n v="32"/>
    <x v="1"/>
    <s v="Travel_Rarely"/>
    <n v="1018"/>
    <x v="1"/>
    <n v="3"/>
    <n v="2"/>
    <s v="Life Sciences"/>
    <n v="1"/>
    <n v="727"/>
    <x v="1"/>
    <s v="Female"/>
    <n v="39"/>
    <n v="3"/>
    <n v="3"/>
    <x v="7"/>
    <x v="0"/>
    <s v="Single"/>
    <n v="11159"/>
    <n v="19373"/>
    <n v="3"/>
    <s v="Y"/>
    <x v="1"/>
    <n v="15"/>
    <n v="3"/>
    <n v="4"/>
    <n v="80"/>
    <n v="0"/>
    <n v="10"/>
    <n v="6"/>
    <x v="1"/>
    <x v="5"/>
    <n v="7"/>
    <n v="7"/>
    <n v="7"/>
  </r>
  <r>
    <n v="47"/>
    <x v="1"/>
    <s v="Travel_Rarely"/>
    <n v="703"/>
    <x v="0"/>
    <n v="14"/>
    <n v="4"/>
    <s v="Marketing"/>
    <n v="1"/>
    <n v="728"/>
    <x v="2"/>
    <s v="Male"/>
    <n v="42"/>
    <n v="3"/>
    <n v="2"/>
    <x v="0"/>
    <x v="3"/>
    <s v="Single"/>
    <n v="4960"/>
    <n v="11825"/>
    <n v="2"/>
    <s v="Y"/>
    <x v="1"/>
    <n v="12"/>
    <n v="3"/>
    <n v="4"/>
    <n v="80"/>
    <n v="0"/>
    <n v="20"/>
    <n v="2"/>
    <x v="1"/>
    <x v="5"/>
    <n v="7"/>
    <n v="1"/>
    <n v="7"/>
  </r>
  <r>
    <n v="40"/>
    <x v="1"/>
    <s v="Travel_Frequently"/>
    <n v="580"/>
    <x v="0"/>
    <n v="5"/>
    <n v="4"/>
    <s v="Life Sciences"/>
    <n v="1"/>
    <n v="729"/>
    <x v="2"/>
    <s v="Male"/>
    <n v="48"/>
    <n v="2"/>
    <n v="3"/>
    <x v="0"/>
    <x v="3"/>
    <s v="Married"/>
    <n v="10475"/>
    <n v="23772"/>
    <n v="5"/>
    <s v="Y"/>
    <x v="0"/>
    <n v="21"/>
    <n v="4"/>
    <n v="3"/>
    <n v="80"/>
    <n v="1"/>
    <n v="20"/>
    <n v="2"/>
    <x v="1"/>
    <x v="29"/>
    <n v="13"/>
    <n v="1"/>
    <n v="12"/>
  </r>
  <r>
    <n v="53"/>
    <x v="1"/>
    <s v="Travel_Rarely"/>
    <n v="970"/>
    <x v="1"/>
    <n v="7"/>
    <n v="3"/>
    <s v="Life Sciences"/>
    <n v="1"/>
    <n v="730"/>
    <x v="1"/>
    <s v="Male"/>
    <n v="59"/>
    <n v="4"/>
    <n v="4"/>
    <x v="7"/>
    <x v="2"/>
    <s v="Married"/>
    <n v="14814"/>
    <n v="13514"/>
    <n v="3"/>
    <s v="Y"/>
    <x v="1"/>
    <n v="19"/>
    <n v="3"/>
    <n v="3"/>
    <n v="80"/>
    <n v="0"/>
    <n v="32"/>
    <n v="3"/>
    <x v="1"/>
    <x v="8"/>
    <n v="1"/>
    <n v="1"/>
    <n v="3"/>
  </r>
  <r>
    <n v="41"/>
    <x v="1"/>
    <s v="Travel_Rarely"/>
    <n v="427"/>
    <x v="2"/>
    <n v="10"/>
    <n v="4"/>
    <s v="Human Resources"/>
    <n v="1"/>
    <n v="731"/>
    <x v="0"/>
    <s v="Male"/>
    <n v="73"/>
    <n v="2"/>
    <n v="5"/>
    <x v="5"/>
    <x v="0"/>
    <s v="Divorced"/>
    <n v="19141"/>
    <n v="8861"/>
    <n v="3"/>
    <s v="Y"/>
    <x v="1"/>
    <n v="15"/>
    <n v="3"/>
    <n v="2"/>
    <n v="80"/>
    <n v="3"/>
    <n v="23"/>
    <n v="2"/>
    <x v="2"/>
    <x v="17"/>
    <n v="6"/>
    <n v="12"/>
    <n v="6"/>
  </r>
  <r>
    <n v="60"/>
    <x v="1"/>
    <s v="Travel_Rarely"/>
    <n v="1179"/>
    <x v="0"/>
    <n v="16"/>
    <n v="4"/>
    <s v="Marketing"/>
    <n v="1"/>
    <n v="732"/>
    <x v="3"/>
    <s v="Male"/>
    <n v="84"/>
    <n v="3"/>
    <n v="2"/>
    <x v="0"/>
    <x v="3"/>
    <s v="Single"/>
    <n v="5405"/>
    <n v="11924"/>
    <n v="8"/>
    <s v="Y"/>
    <x v="1"/>
    <n v="14"/>
    <n v="3"/>
    <n v="4"/>
    <n v="80"/>
    <n v="0"/>
    <n v="10"/>
    <n v="1"/>
    <x v="1"/>
    <x v="4"/>
    <n v="2"/>
    <n v="2"/>
    <n v="2"/>
  </r>
  <r>
    <n v="27"/>
    <x v="1"/>
    <s v="Travel_Frequently"/>
    <n v="294"/>
    <x v="1"/>
    <n v="10"/>
    <n v="2"/>
    <s v="Life Sciences"/>
    <n v="1"/>
    <n v="733"/>
    <x v="2"/>
    <s v="Male"/>
    <n v="32"/>
    <n v="3"/>
    <n v="3"/>
    <x v="3"/>
    <x v="3"/>
    <s v="Divorced"/>
    <n v="8793"/>
    <n v="4809"/>
    <n v="1"/>
    <s v="Y"/>
    <x v="1"/>
    <n v="21"/>
    <n v="4"/>
    <n v="3"/>
    <n v="80"/>
    <n v="2"/>
    <n v="9"/>
    <n v="4"/>
    <x v="2"/>
    <x v="7"/>
    <n v="7"/>
    <n v="1"/>
    <n v="7"/>
  </r>
  <r>
    <n v="41"/>
    <x v="1"/>
    <s v="Travel_Rarely"/>
    <n v="314"/>
    <x v="2"/>
    <n v="1"/>
    <n v="3"/>
    <s v="Human Resources"/>
    <n v="1"/>
    <n v="734"/>
    <x v="2"/>
    <s v="Male"/>
    <n v="59"/>
    <n v="2"/>
    <n v="5"/>
    <x v="5"/>
    <x v="2"/>
    <s v="Married"/>
    <n v="19189"/>
    <n v="19562"/>
    <n v="1"/>
    <s v="Y"/>
    <x v="1"/>
    <n v="12"/>
    <n v="3"/>
    <n v="2"/>
    <n v="80"/>
    <n v="1"/>
    <n v="22"/>
    <n v="3"/>
    <x v="1"/>
    <x v="14"/>
    <n v="7"/>
    <n v="2"/>
    <n v="10"/>
  </r>
  <r>
    <n v="50"/>
    <x v="1"/>
    <s v="Travel_Rarely"/>
    <n v="316"/>
    <x v="0"/>
    <n v="8"/>
    <n v="4"/>
    <s v="Marketing"/>
    <n v="1"/>
    <n v="738"/>
    <x v="2"/>
    <s v="Male"/>
    <n v="54"/>
    <n v="3"/>
    <n v="1"/>
    <x v="6"/>
    <x v="1"/>
    <s v="Married"/>
    <n v="3875"/>
    <n v="9983"/>
    <n v="7"/>
    <s v="Y"/>
    <x v="1"/>
    <n v="15"/>
    <n v="3"/>
    <n v="4"/>
    <n v="80"/>
    <n v="1"/>
    <n v="4"/>
    <n v="2"/>
    <x v="1"/>
    <x v="4"/>
    <n v="2"/>
    <n v="2"/>
    <n v="2"/>
  </r>
  <r>
    <n v="28"/>
    <x v="0"/>
    <s v="Travel_Rarely"/>
    <n v="654"/>
    <x v="1"/>
    <n v="1"/>
    <n v="2"/>
    <s v="Life Sciences"/>
    <n v="1"/>
    <n v="741"/>
    <x v="3"/>
    <s v="Female"/>
    <n v="67"/>
    <n v="1"/>
    <n v="1"/>
    <x v="1"/>
    <x v="1"/>
    <s v="Single"/>
    <n v="2216"/>
    <n v="3872"/>
    <n v="7"/>
    <s v="Y"/>
    <x v="0"/>
    <n v="13"/>
    <n v="3"/>
    <n v="4"/>
    <n v="80"/>
    <n v="0"/>
    <n v="10"/>
    <n v="4"/>
    <x v="1"/>
    <x v="5"/>
    <n v="7"/>
    <n v="3"/>
    <n v="7"/>
  </r>
  <r>
    <n v="36"/>
    <x v="1"/>
    <s v="Non-Travel"/>
    <n v="427"/>
    <x v="1"/>
    <n v="8"/>
    <n v="3"/>
    <s v="Life Sciences"/>
    <n v="1"/>
    <n v="742"/>
    <x v="3"/>
    <s v="Female"/>
    <n v="63"/>
    <n v="4"/>
    <n v="3"/>
    <x v="7"/>
    <x v="3"/>
    <s v="Married"/>
    <n v="11713"/>
    <n v="20335"/>
    <n v="9"/>
    <s v="Y"/>
    <x v="1"/>
    <n v="14"/>
    <n v="3"/>
    <n v="1"/>
    <n v="80"/>
    <n v="1"/>
    <n v="10"/>
    <n v="2"/>
    <x v="1"/>
    <x v="3"/>
    <n v="7"/>
    <n v="0"/>
    <n v="5"/>
  </r>
  <r>
    <n v="38"/>
    <x v="1"/>
    <s v="Travel_Rarely"/>
    <n v="168"/>
    <x v="1"/>
    <n v="1"/>
    <n v="3"/>
    <s v="Life Sciences"/>
    <n v="1"/>
    <n v="743"/>
    <x v="1"/>
    <s v="Female"/>
    <n v="81"/>
    <n v="3"/>
    <n v="3"/>
    <x v="3"/>
    <x v="2"/>
    <s v="Single"/>
    <n v="7861"/>
    <n v="15397"/>
    <n v="4"/>
    <s v="Y"/>
    <x v="0"/>
    <n v="14"/>
    <n v="3"/>
    <n v="4"/>
    <n v="80"/>
    <n v="0"/>
    <n v="10"/>
    <n v="4"/>
    <x v="3"/>
    <x v="6"/>
    <n v="0"/>
    <n v="0"/>
    <n v="0"/>
  </r>
  <r>
    <n v="44"/>
    <x v="1"/>
    <s v="Non-Travel"/>
    <n v="381"/>
    <x v="1"/>
    <n v="24"/>
    <n v="3"/>
    <s v="Medical"/>
    <n v="1"/>
    <n v="744"/>
    <x v="3"/>
    <s v="Male"/>
    <n v="49"/>
    <n v="1"/>
    <n v="1"/>
    <x v="2"/>
    <x v="2"/>
    <s v="Single"/>
    <n v="3708"/>
    <n v="2104"/>
    <n v="2"/>
    <s v="Y"/>
    <x v="1"/>
    <n v="14"/>
    <n v="3"/>
    <n v="3"/>
    <n v="80"/>
    <n v="0"/>
    <n v="9"/>
    <n v="5"/>
    <x v="1"/>
    <x v="8"/>
    <n v="2"/>
    <n v="1"/>
    <n v="4"/>
  </r>
  <r>
    <n v="47"/>
    <x v="1"/>
    <s v="Travel_Frequently"/>
    <n v="217"/>
    <x v="0"/>
    <n v="3"/>
    <n v="3"/>
    <s v="Medical"/>
    <n v="1"/>
    <n v="746"/>
    <x v="2"/>
    <s v="Female"/>
    <n v="49"/>
    <n v="3"/>
    <n v="4"/>
    <x v="0"/>
    <x v="2"/>
    <s v="Divorced"/>
    <n v="13770"/>
    <n v="10225"/>
    <n v="9"/>
    <s v="Y"/>
    <x v="0"/>
    <n v="12"/>
    <n v="3"/>
    <n v="4"/>
    <n v="80"/>
    <n v="2"/>
    <n v="28"/>
    <n v="2"/>
    <x v="2"/>
    <x v="14"/>
    <n v="2"/>
    <n v="11"/>
    <n v="13"/>
  </r>
  <r>
    <n v="30"/>
    <x v="1"/>
    <s v="Travel_Rarely"/>
    <n v="501"/>
    <x v="0"/>
    <n v="27"/>
    <n v="5"/>
    <s v="Marketing"/>
    <n v="1"/>
    <n v="747"/>
    <x v="1"/>
    <s v="Male"/>
    <n v="99"/>
    <n v="3"/>
    <n v="2"/>
    <x v="0"/>
    <x v="0"/>
    <s v="Divorced"/>
    <n v="5304"/>
    <n v="25275"/>
    <n v="7"/>
    <s v="Y"/>
    <x v="1"/>
    <n v="23"/>
    <n v="4"/>
    <n v="4"/>
    <n v="80"/>
    <n v="1"/>
    <n v="10"/>
    <n v="2"/>
    <x v="2"/>
    <x v="3"/>
    <n v="7"/>
    <n v="7"/>
    <n v="7"/>
  </r>
  <r>
    <n v="29"/>
    <x v="1"/>
    <s v="Travel_Rarely"/>
    <n v="1396"/>
    <x v="0"/>
    <n v="10"/>
    <n v="3"/>
    <s v="Life Sciences"/>
    <n v="1"/>
    <n v="749"/>
    <x v="1"/>
    <s v="Male"/>
    <n v="99"/>
    <n v="3"/>
    <n v="1"/>
    <x v="6"/>
    <x v="2"/>
    <s v="Single"/>
    <n v="2642"/>
    <n v="2755"/>
    <n v="1"/>
    <s v="Y"/>
    <x v="1"/>
    <n v="11"/>
    <n v="3"/>
    <n v="3"/>
    <n v="80"/>
    <n v="0"/>
    <n v="1"/>
    <n v="6"/>
    <x v="1"/>
    <x v="6"/>
    <n v="0"/>
    <n v="0"/>
    <n v="0"/>
  </r>
  <r>
    <n v="42"/>
    <x v="0"/>
    <s v="Travel_Frequently"/>
    <n v="933"/>
    <x v="1"/>
    <n v="19"/>
    <n v="3"/>
    <s v="Medical"/>
    <n v="1"/>
    <n v="752"/>
    <x v="1"/>
    <s v="Male"/>
    <n v="57"/>
    <n v="4"/>
    <n v="1"/>
    <x v="1"/>
    <x v="2"/>
    <s v="Divorced"/>
    <n v="2759"/>
    <n v="20366"/>
    <n v="6"/>
    <s v="Y"/>
    <x v="0"/>
    <n v="12"/>
    <n v="3"/>
    <n v="4"/>
    <n v="80"/>
    <n v="0"/>
    <n v="7"/>
    <n v="2"/>
    <x v="1"/>
    <x v="4"/>
    <n v="2"/>
    <n v="2"/>
    <n v="2"/>
  </r>
  <r>
    <n v="43"/>
    <x v="1"/>
    <s v="Travel_Frequently"/>
    <n v="775"/>
    <x v="0"/>
    <n v="15"/>
    <n v="3"/>
    <s v="Life Sciences"/>
    <n v="1"/>
    <n v="754"/>
    <x v="2"/>
    <s v="Male"/>
    <n v="47"/>
    <n v="2"/>
    <n v="2"/>
    <x v="0"/>
    <x v="0"/>
    <s v="Married"/>
    <n v="6804"/>
    <n v="23683"/>
    <n v="3"/>
    <s v="Y"/>
    <x v="1"/>
    <n v="18"/>
    <n v="3"/>
    <n v="3"/>
    <n v="80"/>
    <n v="1"/>
    <n v="7"/>
    <n v="5"/>
    <x v="1"/>
    <x v="4"/>
    <n v="2"/>
    <n v="2"/>
    <n v="2"/>
  </r>
  <r>
    <n v="34"/>
    <x v="1"/>
    <s v="Travel_Rarely"/>
    <n v="970"/>
    <x v="1"/>
    <n v="8"/>
    <n v="2"/>
    <s v="Medical"/>
    <n v="1"/>
    <n v="757"/>
    <x v="0"/>
    <s v="Female"/>
    <n v="96"/>
    <n v="3"/>
    <n v="2"/>
    <x v="4"/>
    <x v="2"/>
    <s v="Single"/>
    <n v="6142"/>
    <n v="7360"/>
    <n v="3"/>
    <s v="Y"/>
    <x v="1"/>
    <n v="11"/>
    <n v="3"/>
    <n v="4"/>
    <n v="80"/>
    <n v="0"/>
    <n v="10"/>
    <n v="2"/>
    <x v="1"/>
    <x v="8"/>
    <n v="1"/>
    <n v="4"/>
    <n v="3"/>
  </r>
  <r>
    <n v="23"/>
    <x v="1"/>
    <s v="Travel_Rarely"/>
    <n v="650"/>
    <x v="1"/>
    <n v="9"/>
    <n v="1"/>
    <s v="Medical"/>
    <n v="1"/>
    <n v="758"/>
    <x v="0"/>
    <s v="Male"/>
    <n v="37"/>
    <n v="3"/>
    <n v="1"/>
    <x v="2"/>
    <x v="3"/>
    <s v="Married"/>
    <n v="2500"/>
    <n v="4344"/>
    <n v="1"/>
    <s v="Y"/>
    <x v="1"/>
    <n v="14"/>
    <n v="3"/>
    <n v="4"/>
    <n v="80"/>
    <n v="1"/>
    <n v="5"/>
    <n v="2"/>
    <x v="3"/>
    <x v="9"/>
    <n v="3"/>
    <n v="0"/>
    <n v="2"/>
  </r>
  <r>
    <n v="39"/>
    <x v="1"/>
    <s v="Travel_Rarely"/>
    <n v="141"/>
    <x v="2"/>
    <n v="3"/>
    <n v="3"/>
    <s v="Human Resources"/>
    <n v="1"/>
    <n v="760"/>
    <x v="1"/>
    <s v="Female"/>
    <n v="44"/>
    <n v="4"/>
    <n v="2"/>
    <x v="8"/>
    <x v="1"/>
    <s v="Married"/>
    <n v="6389"/>
    <n v="18767"/>
    <n v="9"/>
    <s v="Y"/>
    <x v="1"/>
    <n v="15"/>
    <n v="3"/>
    <n v="3"/>
    <n v="80"/>
    <n v="1"/>
    <n v="12"/>
    <n v="3"/>
    <x v="0"/>
    <x v="3"/>
    <n v="3"/>
    <n v="3"/>
    <n v="6"/>
  </r>
  <r>
    <n v="56"/>
    <x v="1"/>
    <s v="Travel_Rarely"/>
    <n v="832"/>
    <x v="1"/>
    <n v="9"/>
    <n v="3"/>
    <s v="Medical"/>
    <n v="1"/>
    <n v="762"/>
    <x v="1"/>
    <s v="Male"/>
    <n v="81"/>
    <n v="3"/>
    <n v="4"/>
    <x v="4"/>
    <x v="0"/>
    <s v="Married"/>
    <n v="11103"/>
    <n v="20420"/>
    <n v="7"/>
    <s v="Y"/>
    <x v="1"/>
    <n v="11"/>
    <n v="3"/>
    <n v="3"/>
    <n v="80"/>
    <n v="0"/>
    <n v="30"/>
    <n v="1"/>
    <x v="2"/>
    <x v="1"/>
    <n v="7"/>
    <n v="1"/>
    <n v="1"/>
  </r>
  <r>
    <n v="40"/>
    <x v="1"/>
    <s v="Travel_Rarely"/>
    <n v="804"/>
    <x v="1"/>
    <n v="2"/>
    <n v="1"/>
    <s v="Medical"/>
    <n v="1"/>
    <n v="763"/>
    <x v="2"/>
    <s v="Female"/>
    <n v="86"/>
    <n v="2"/>
    <n v="1"/>
    <x v="1"/>
    <x v="0"/>
    <s v="Single"/>
    <n v="2342"/>
    <n v="22929"/>
    <n v="0"/>
    <s v="Y"/>
    <x v="0"/>
    <n v="20"/>
    <n v="4"/>
    <n v="4"/>
    <n v="80"/>
    <n v="0"/>
    <n v="5"/>
    <n v="2"/>
    <x v="2"/>
    <x v="9"/>
    <n v="2"/>
    <n v="2"/>
    <n v="3"/>
  </r>
  <r>
    <n v="27"/>
    <x v="1"/>
    <s v="Travel_Rarely"/>
    <n v="975"/>
    <x v="1"/>
    <n v="7"/>
    <n v="3"/>
    <s v="Medical"/>
    <n v="1"/>
    <n v="764"/>
    <x v="2"/>
    <s v="Female"/>
    <n v="55"/>
    <n v="2"/>
    <n v="2"/>
    <x v="4"/>
    <x v="3"/>
    <s v="Single"/>
    <n v="6811"/>
    <n v="23398"/>
    <n v="8"/>
    <s v="Y"/>
    <x v="1"/>
    <n v="19"/>
    <n v="3"/>
    <n v="1"/>
    <n v="80"/>
    <n v="0"/>
    <n v="9"/>
    <n v="2"/>
    <x v="0"/>
    <x v="5"/>
    <n v="6"/>
    <n v="0"/>
    <n v="7"/>
  </r>
  <r>
    <n v="29"/>
    <x v="1"/>
    <s v="Travel_Rarely"/>
    <n v="1090"/>
    <x v="0"/>
    <n v="10"/>
    <n v="3"/>
    <s v="Marketing"/>
    <n v="1"/>
    <n v="766"/>
    <x v="2"/>
    <s v="Male"/>
    <n v="83"/>
    <n v="3"/>
    <n v="1"/>
    <x v="6"/>
    <x v="1"/>
    <s v="Divorced"/>
    <n v="2297"/>
    <n v="17967"/>
    <n v="1"/>
    <s v="Y"/>
    <x v="1"/>
    <n v="14"/>
    <n v="3"/>
    <n v="4"/>
    <n v="80"/>
    <n v="2"/>
    <n v="2"/>
    <n v="2"/>
    <x v="1"/>
    <x v="4"/>
    <n v="2"/>
    <n v="2"/>
    <n v="2"/>
  </r>
  <r>
    <n v="53"/>
    <x v="1"/>
    <s v="Travel_Rarely"/>
    <n v="346"/>
    <x v="1"/>
    <n v="6"/>
    <n v="3"/>
    <s v="Life Sciences"/>
    <n v="1"/>
    <n v="769"/>
    <x v="2"/>
    <s v="Male"/>
    <n v="86"/>
    <n v="3"/>
    <n v="2"/>
    <x v="2"/>
    <x v="0"/>
    <s v="Single"/>
    <n v="2450"/>
    <n v="10919"/>
    <n v="2"/>
    <s v="Y"/>
    <x v="1"/>
    <n v="17"/>
    <n v="3"/>
    <n v="4"/>
    <n v="80"/>
    <n v="0"/>
    <n v="19"/>
    <n v="4"/>
    <x v="1"/>
    <x v="4"/>
    <n v="2"/>
    <n v="2"/>
    <n v="2"/>
  </r>
  <r>
    <n v="35"/>
    <x v="1"/>
    <s v="Non-Travel"/>
    <n v="1225"/>
    <x v="1"/>
    <n v="2"/>
    <n v="4"/>
    <s v="Life Sciences"/>
    <n v="1"/>
    <n v="771"/>
    <x v="2"/>
    <s v="Female"/>
    <n v="61"/>
    <n v="3"/>
    <n v="2"/>
    <x v="4"/>
    <x v="3"/>
    <s v="Divorced"/>
    <n v="5093"/>
    <n v="4761"/>
    <n v="2"/>
    <s v="Y"/>
    <x v="1"/>
    <n v="11"/>
    <n v="3"/>
    <n v="1"/>
    <n v="80"/>
    <n v="1"/>
    <n v="16"/>
    <n v="2"/>
    <x v="3"/>
    <x v="6"/>
    <n v="0"/>
    <n v="0"/>
    <n v="0"/>
  </r>
  <r>
    <n v="32"/>
    <x v="1"/>
    <s v="Travel_Frequently"/>
    <n v="430"/>
    <x v="1"/>
    <n v="24"/>
    <n v="4"/>
    <s v="Life Sciences"/>
    <n v="1"/>
    <n v="772"/>
    <x v="3"/>
    <s v="Male"/>
    <n v="80"/>
    <n v="3"/>
    <n v="2"/>
    <x v="2"/>
    <x v="0"/>
    <s v="Married"/>
    <n v="5309"/>
    <n v="21146"/>
    <n v="1"/>
    <s v="Y"/>
    <x v="1"/>
    <n v="15"/>
    <n v="3"/>
    <n v="4"/>
    <n v="80"/>
    <n v="2"/>
    <n v="10"/>
    <n v="2"/>
    <x v="1"/>
    <x v="1"/>
    <n v="8"/>
    <n v="4"/>
    <n v="7"/>
  </r>
  <r>
    <n v="38"/>
    <x v="1"/>
    <s v="Travel_Rarely"/>
    <n v="268"/>
    <x v="1"/>
    <n v="2"/>
    <n v="5"/>
    <s v="Medical"/>
    <n v="1"/>
    <n v="773"/>
    <x v="2"/>
    <s v="Male"/>
    <n v="92"/>
    <n v="3"/>
    <n v="1"/>
    <x v="1"/>
    <x v="2"/>
    <s v="Married"/>
    <n v="3057"/>
    <n v="20471"/>
    <n v="6"/>
    <s v="Y"/>
    <x v="0"/>
    <n v="13"/>
    <n v="3"/>
    <n v="2"/>
    <n v="80"/>
    <n v="1"/>
    <n v="6"/>
    <n v="0"/>
    <x v="0"/>
    <x v="6"/>
    <n v="0"/>
    <n v="0"/>
    <n v="1"/>
  </r>
  <r>
    <n v="34"/>
    <x v="1"/>
    <s v="Travel_Rarely"/>
    <n v="167"/>
    <x v="1"/>
    <n v="8"/>
    <n v="5"/>
    <s v="Life Sciences"/>
    <n v="1"/>
    <n v="775"/>
    <x v="0"/>
    <s v="Female"/>
    <n v="32"/>
    <n v="3"/>
    <n v="2"/>
    <x v="3"/>
    <x v="3"/>
    <s v="Divorced"/>
    <n v="5121"/>
    <n v="4187"/>
    <n v="3"/>
    <s v="Y"/>
    <x v="1"/>
    <n v="14"/>
    <n v="3"/>
    <n v="3"/>
    <n v="80"/>
    <n v="1"/>
    <n v="7"/>
    <n v="3"/>
    <x v="1"/>
    <x v="2"/>
    <n v="0"/>
    <n v="0"/>
    <n v="0"/>
  </r>
  <r>
    <n v="52"/>
    <x v="1"/>
    <s v="Travel_Rarely"/>
    <n v="621"/>
    <x v="0"/>
    <n v="3"/>
    <n v="4"/>
    <s v="Marketing"/>
    <n v="1"/>
    <n v="776"/>
    <x v="1"/>
    <s v="Male"/>
    <n v="31"/>
    <n v="2"/>
    <n v="4"/>
    <x v="5"/>
    <x v="3"/>
    <s v="Married"/>
    <n v="16856"/>
    <n v="10084"/>
    <n v="1"/>
    <s v="Y"/>
    <x v="1"/>
    <n v="11"/>
    <n v="3"/>
    <n v="1"/>
    <n v="80"/>
    <n v="0"/>
    <n v="34"/>
    <n v="3"/>
    <x v="3"/>
    <x v="33"/>
    <n v="6"/>
    <n v="1"/>
    <n v="16"/>
  </r>
  <r>
    <n v="33"/>
    <x v="0"/>
    <s v="Travel_Rarely"/>
    <n v="527"/>
    <x v="1"/>
    <n v="1"/>
    <n v="4"/>
    <s v="Other"/>
    <n v="1"/>
    <n v="780"/>
    <x v="2"/>
    <s v="Male"/>
    <n v="63"/>
    <n v="3"/>
    <n v="1"/>
    <x v="1"/>
    <x v="0"/>
    <s v="Single"/>
    <n v="2686"/>
    <n v="5207"/>
    <n v="1"/>
    <s v="Y"/>
    <x v="0"/>
    <n v="13"/>
    <n v="3"/>
    <n v="3"/>
    <n v="80"/>
    <n v="0"/>
    <n v="10"/>
    <n v="2"/>
    <x v="2"/>
    <x v="1"/>
    <n v="9"/>
    <n v="7"/>
    <n v="8"/>
  </r>
  <r>
    <n v="25"/>
    <x v="1"/>
    <s v="Travel_Rarely"/>
    <n v="883"/>
    <x v="0"/>
    <n v="26"/>
    <n v="1"/>
    <s v="Medical"/>
    <n v="1"/>
    <n v="781"/>
    <x v="1"/>
    <s v="Female"/>
    <n v="32"/>
    <n v="3"/>
    <n v="2"/>
    <x v="0"/>
    <x v="0"/>
    <s v="Single"/>
    <n v="6180"/>
    <n v="22807"/>
    <n v="1"/>
    <s v="Y"/>
    <x v="1"/>
    <n v="23"/>
    <n v="4"/>
    <n v="2"/>
    <n v="80"/>
    <n v="0"/>
    <n v="6"/>
    <n v="5"/>
    <x v="2"/>
    <x v="0"/>
    <n v="5"/>
    <n v="1"/>
    <n v="4"/>
  </r>
  <r>
    <n v="45"/>
    <x v="1"/>
    <s v="Travel_Rarely"/>
    <n v="954"/>
    <x v="0"/>
    <n v="2"/>
    <n v="2"/>
    <s v="Technical Degree"/>
    <n v="1"/>
    <n v="783"/>
    <x v="0"/>
    <s v="Male"/>
    <n v="46"/>
    <n v="1"/>
    <n v="2"/>
    <x v="6"/>
    <x v="2"/>
    <s v="Single"/>
    <n v="6632"/>
    <n v="12388"/>
    <n v="0"/>
    <s v="Y"/>
    <x v="1"/>
    <n v="13"/>
    <n v="3"/>
    <n v="1"/>
    <n v="80"/>
    <n v="0"/>
    <n v="9"/>
    <n v="3"/>
    <x v="1"/>
    <x v="3"/>
    <n v="7"/>
    <n v="3"/>
    <n v="1"/>
  </r>
  <r>
    <n v="23"/>
    <x v="1"/>
    <s v="Travel_Rarely"/>
    <n v="310"/>
    <x v="1"/>
    <n v="10"/>
    <n v="1"/>
    <s v="Medical"/>
    <n v="1"/>
    <n v="784"/>
    <x v="3"/>
    <s v="Male"/>
    <n v="79"/>
    <n v="4"/>
    <n v="1"/>
    <x v="1"/>
    <x v="2"/>
    <s v="Single"/>
    <n v="3505"/>
    <n v="19630"/>
    <n v="1"/>
    <s v="Y"/>
    <x v="1"/>
    <n v="18"/>
    <n v="3"/>
    <n v="4"/>
    <n v="80"/>
    <n v="0"/>
    <n v="2"/>
    <n v="3"/>
    <x v="1"/>
    <x v="4"/>
    <n v="2"/>
    <n v="0"/>
    <n v="2"/>
  </r>
  <r>
    <n v="47"/>
    <x v="0"/>
    <s v="Travel_Frequently"/>
    <n v="719"/>
    <x v="0"/>
    <n v="27"/>
    <n v="2"/>
    <s v="Life Sciences"/>
    <n v="1"/>
    <n v="785"/>
    <x v="0"/>
    <s v="Female"/>
    <n v="77"/>
    <n v="4"/>
    <n v="2"/>
    <x v="0"/>
    <x v="2"/>
    <s v="Single"/>
    <n v="6397"/>
    <n v="10339"/>
    <n v="4"/>
    <s v="Y"/>
    <x v="0"/>
    <n v="12"/>
    <n v="3"/>
    <n v="4"/>
    <n v="80"/>
    <n v="0"/>
    <n v="8"/>
    <n v="2"/>
    <x v="1"/>
    <x v="8"/>
    <n v="4"/>
    <n v="1"/>
    <n v="3"/>
  </r>
  <r>
    <n v="34"/>
    <x v="1"/>
    <s v="Travel_Rarely"/>
    <n v="304"/>
    <x v="0"/>
    <n v="2"/>
    <n v="3"/>
    <s v="Other"/>
    <n v="1"/>
    <n v="786"/>
    <x v="2"/>
    <s v="Male"/>
    <n v="60"/>
    <n v="3"/>
    <n v="2"/>
    <x v="0"/>
    <x v="0"/>
    <s v="Single"/>
    <n v="6274"/>
    <n v="18686"/>
    <n v="1"/>
    <s v="Y"/>
    <x v="1"/>
    <n v="22"/>
    <n v="4"/>
    <n v="3"/>
    <n v="80"/>
    <n v="0"/>
    <n v="6"/>
    <n v="5"/>
    <x v="1"/>
    <x v="0"/>
    <n v="5"/>
    <n v="1"/>
    <n v="4"/>
  </r>
  <r>
    <n v="55"/>
    <x v="0"/>
    <s v="Travel_Rarely"/>
    <n v="725"/>
    <x v="1"/>
    <n v="2"/>
    <n v="3"/>
    <s v="Medical"/>
    <n v="1"/>
    <n v="787"/>
    <x v="2"/>
    <s v="Male"/>
    <n v="78"/>
    <n v="3"/>
    <n v="5"/>
    <x v="5"/>
    <x v="3"/>
    <s v="Married"/>
    <n v="19859"/>
    <n v="21199"/>
    <n v="5"/>
    <s v="Y"/>
    <x v="0"/>
    <n v="13"/>
    <n v="3"/>
    <n v="4"/>
    <n v="80"/>
    <n v="1"/>
    <n v="24"/>
    <n v="2"/>
    <x v="1"/>
    <x v="8"/>
    <n v="2"/>
    <n v="1"/>
    <n v="4"/>
  </r>
  <r>
    <n v="36"/>
    <x v="1"/>
    <s v="Non-Travel"/>
    <n v="1434"/>
    <x v="0"/>
    <n v="8"/>
    <n v="4"/>
    <s v="Life Sciences"/>
    <n v="1"/>
    <n v="789"/>
    <x v="3"/>
    <s v="Male"/>
    <n v="76"/>
    <n v="2"/>
    <n v="3"/>
    <x v="0"/>
    <x v="3"/>
    <s v="Single"/>
    <n v="7587"/>
    <n v="14229"/>
    <n v="1"/>
    <s v="Y"/>
    <x v="1"/>
    <n v="15"/>
    <n v="3"/>
    <n v="2"/>
    <n v="80"/>
    <n v="0"/>
    <n v="10"/>
    <n v="1"/>
    <x v="1"/>
    <x v="1"/>
    <n v="7"/>
    <n v="0"/>
    <n v="9"/>
  </r>
  <r>
    <n v="52"/>
    <x v="1"/>
    <s v="Non-Travel"/>
    <n v="715"/>
    <x v="1"/>
    <n v="19"/>
    <n v="4"/>
    <s v="Medical"/>
    <n v="1"/>
    <n v="791"/>
    <x v="2"/>
    <s v="Male"/>
    <n v="41"/>
    <n v="3"/>
    <n v="1"/>
    <x v="1"/>
    <x v="0"/>
    <s v="Married"/>
    <n v="4258"/>
    <n v="26589"/>
    <n v="0"/>
    <s v="Y"/>
    <x v="1"/>
    <n v="18"/>
    <n v="3"/>
    <n v="1"/>
    <n v="80"/>
    <n v="1"/>
    <n v="5"/>
    <n v="3"/>
    <x v="1"/>
    <x v="9"/>
    <n v="3"/>
    <n v="1"/>
    <n v="2"/>
  </r>
  <r>
    <n v="26"/>
    <x v="1"/>
    <s v="Travel_Frequently"/>
    <n v="575"/>
    <x v="1"/>
    <n v="1"/>
    <n v="2"/>
    <s v="Life Sciences"/>
    <n v="1"/>
    <n v="792"/>
    <x v="3"/>
    <s v="Female"/>
    <n v="71"/>
    <n v="1"/>
    <n v="1"/>
    <x v="2"/>
    <x v="0"/>
    <s v="Divorced"/>
    <n v="4364"/>
    <n v="5288"/>
    <n v="3"/>
    <s v="Y"/>
    <x v="1"/>
    <n v="14"/>
    <n v="3"/>
    <n v="1"/>
    <n v="80"/>
    <n v="1"/>
    <n v="5"/>
    <n v="2"/>
    <x v="1"/>
    <x v="4"/>
    <n v="2"/>
    <n v="2"/>
    <n v="0"/>
  </r>
  <r>
    <n v="29"/>
    <x v="1"/>
    <s v="Travel_Rarely"/>
    <n v="657"/>
    <x v="1"/>
    <n v="27"/>
    <n v="3"/>
    <s v="Medical"/>
    <n v="1"/>
    <n v="793"/>
    <x v="0"/>
    <s v="Female"/>
    <n v="66"/>
    <n v="3"/>
    <n v="2"/>
    <x v="4"/>
    <x v="2"/>
    <s v="Married"/>
    <n v="4335"/>
    <n v="25549"/>
    <n v="4"/>
    <s v="Y"/>
    <x v="1"/>
    <n v="12"/>
    <n v="3"/>
    <n v="1"/>
    <n v="80"/>
    <n v="1"/>
    <n v="11"/>
    <n v="3"/>
    <x v="2"/>
    <x v="3"/>
    <n v="7"/>
    <n v="1"/>
    <n v="1"/>
  </r>
  <r>
    <n v="26"/>
    <x v="0"/>
    <s v="Travel_Rarely"/>
    <n v="1146"/>
    <x v="0"/>
    <n v="8"/>
    <n v="3"/>
    <s v="Technical Degree"/>
    <n v="1"/>
    <n v="796"/>
    <x v="2"/>
    <s v="Male"/>
    <n v="38"/>
    <n v="2"/>
    <n v="2"/>
    <x v="0"/>
    <x v="3"/>
    <s v="Single"/>
    <n v="5326"/>
    <n v="3064"/>
    <n v="6"/>
    <s v="Y"/>
    <x v="1"/>
    <n v="17"/>
    <n v="3"/>
    <n v="3"/>
    <n v="80"/>
    <n v="0"/>
    <n v="6"/>
    <n v="2"/>
    <x v="2"/>
    <x v="9"/>
    <n v="3"/>
    <n v="1"/>
    <n v="2"/>
  </r>
  <r>
    <n v="34"/>
    <x v="1"/>
    <s v="Travel_Rarely"/>
    <n v="182"/>
    <x v="1"/>
    <n v="1"/>
    <n v="4"/>
    <s v="Life Sciences"/>
    <n v="1"/>
    <n v="797"/>
    <x v="0"/>
    <s v="Female"/>
    <n v="72"/>
    <n v="4"/>
    <n v="1"/>
    <x v="1"/>
    <x v="0"/>
    <s v="Single"/>
    <n v="3280"/>
    <n v="13551"/>
    <n v="2"/>
    <s v="Y"/>
    <x v="1"/>
    <n v="16"/>
    <n v="3"/>
    <n v="3"/>
    <n v="80"/>
    <n v="0"/>
    <n v="10"/>
    <n v="2"/>
    <x v="1"/>
    <x v="9"/>
    <n v="2"/>
    <n v="1"/>
    <n v="3"/>
  </r>
  <r>
    <n v="54"/>
    <x v="1"/>
    <s v="Travel_Rarely"/>
    <n v="376"/>
    <x v="1"/>
    <n v="19"/>
    <n v="4"/>
    <s v="Medical"/>
    <n v="1"/>
    <n v="799"/>
    <x v="2"/>
    <s v="Female"/>
    <n v="95"/>
    <n v="3"/>
    <n v="2"/>
    <x v="3"/>
    <x v="3"/>
    <s v="Divorced"/>
    <n v="5485"/>
    <n v="22670"/>
    <n v="9"/>
    <s v="Y"/>
    <x v="0"/>
    <n v="11"/>
    <n v="3"/>
    <n v="2"/>
    <n v="80"/>
    <n v="2"/>
    <n v="9"/>
    <n v="4"/>
    <x v="1"/>
    <x v="8"/>
    <n v="3"/>
    <n v="1"/>
    <n v="4"/>
  </r>
  <r>
    <n v="27"/>
    <x v="1"/>
    <s v="Travel_Frequently"/>
    <n v="829"/>
    <x v="0"/>
    <n v="8"/>
    <n v="1"/>
    <s v="Marketing"/>
    <n v="1"/>
    <n v="800"/>
    <x v="1"/>
    <s v="Male"/>
    <n v="84"/>
    <n v="3"/>
    <n v="2"/>
    <x v="0"/>
    <x v="0"/>
    <s v="Married"/>
    <n v="4342"/>
    <n v="24008"/>
    <n v="0"/>
    <s v="Y"/>
    <x v="1"/>
    <n v="19"/>
    <n v="3"/>
    <n v="2"/>
    <n v="80"/>
    <n v="1"/>
    <n v="5"/>
    <n v="3"/>
    <x v="1"/>
    <x v="9"/>
    <n v="2"/>
    <n v="1"/>
    <n v="1"/>
  </r>
  <r>
    <n v="37"/>
    <x v="1"/>
    <s v="Travel_Rarely"/>
    <n v="571"/>
    <x v="1"/>
    <n v="10"/>
    <n v="1"/>
    <s v="Life Sciences"/>
    <n v="1"/>
    <n v="802"/>
    <x v="2"/>
    <s v="Female"/>
    <n v="82"/>
    <n v="3"/>
    <n v="1"/>
    <x v="1"/>
    <x v="3"/>
    <s v="Divorced"/>
    <n v="2782"/>
    <n v="19905"/>
    <n v="0"/>
    <s v="Y"/>
    <x v="0"/>
    <n v="13"/>
    <n v="3"/>
    <n v="2"/>
    <n v="80"/>
    <n v="2"/>
    <n v="6"/>
    <n v="3"/>
    <x v="2"/>
    <x v="8"/>
    <n v="3"/>
    <n v="4"/>
    <n v="3"/>
  </r>
  <r>
    <n v="38"/>
    <x v="1"/>
    <s v="Travel_Frequently"/>
    <n v="240"/>
    <x v="1"/>
    <n v="2"/>
    <n v="4"/>
    <s v="Life Sciences"/>
    <n v="1"/>
    <n v="803"/>
    <x v="3"/>
    <s v="Female"/>
    <n v="75"/>
    <n v="4"/>
    <n v="2"/>
    <x v="3"/>
    <x v="3"/>
    <s v="Single"/>
    <n v="5980"/>
    <n v="26085"/>
    <n v="6"/>
    <s v="Y"/>
    <x v="0"/>
    <n v="12"/>
    <n v="3"/>
    <n v="4"/>
    <n v="80"/>
    <n v="0"/>
    <n v="17"/>
    <n v="2"/>
    <x v="1"/>
    <x v="15"/>
    <n v="7"/>
    <n v="4"/>
    <n v="12"/>
  </r>
  <r>
    <n v="34"/>
    <x v="1"/>
    <s v="Travel_Rarely"/>
    <n v="121"/>
    <x v="1"/>
    <n v="2"/>
    <n v="4"/>
    <s v="Medical"/>
    <n v="1"/>
    <n v="804"/>
    <x v="1"/>
    <s v="Female"/>
    <n v="86"/>
    <n v="2"/>
    <n v="1"/>
    <x v="1"/>
    <x v="3"/>
    <s v="Single"/>
    <n v="4381"/>
    <n v="7530"/>
    <n v="1"/>
    <s v="Y"/>
    <x v="1"/>
    <n v="11"/>
    <n v="3"/>
    <n v="3"/>
    <n v="80"/>
    <n v="0"/>
    <n v="6"/>
    <n v="3"/>
    <x v="1"/>
    <x v="0"/>
    <n v="5"/>
    <n v="1"/>
    <n v="3"/>
  </r>
  <r>
    <n v="35"/>
    <x v="1"/>
    <s v="Travel_Rarely"/>
    <n v="384"/>
    <x v="0"/>
    <n v="8"/>
    <n v="4"/>
    <s v="Life Sciences"/>
    <n v="1"/>
    <n v="805"/>
    <x v="3"/>
    <s v="Female"/>
    <n v="72"/>
    <n v="3"/>
    <n v="1"/>
    <x v="6"/>
    <x v="0"/>
    <s v="Married"/>
    <n v="2572"/>
    <n v="20317"/>
    <n v="1"/>
    <s v="Y"/>
    <x v="1"/>
    <n v="16"/>
    <n v="3"/>
    <n v="2"/>
    <n v="80"/>
    <n v="1"/>
    <n v="3"/>
    <n v="1"/>
    <x v="2"/>
    <x v="11"/>
    <n v="2"/>
    <n v="0"/>
    <n v="2"/>
  </r>
  <r>
    <n v="30"/>
    <x v="1"/>
    <s v="Travel_Rarely"/>
    <n v="921"/>
    <x v="1"/>
    <n v="1"/>
    <n v="3"/>
    <s v="Life Sciences"/>
    <n v="1"/>
    <n v="806"/>
    <x v="2"/>
    <s v="Male"/>
    <n v="38"/>
    <n v="1"/>
    <n v="1"/>
    <x v="2"/>
    <x v="2"/>
    <s v="Married"/>
    <n v="3833"/>
    <n v="24375"/>
    <n v="3"/>
    <s v="Y"/>
    <x v="1"/>
    <n v="21"/>
    <n v="4"/>
    <n v="3"/>
    <n v="80"/>
    <n v="2"/>
    <n v="7"/>
    <n v="2"/>
    <x v="1"/>
    <x v="4"/>
    <n v="2"/>
    <n v="0"/>
    <n v="2"/>
  </r>
  <r>
    <n v="40"/>
    <x v="1"/>
    <s v="Travel_Frequently"/>
    <n v="791"/>
    <x v="1"/>
    <n v="2"/>
    <n v="2"/>
    <s v="Medical"/>
    <n v="1"/>
    <n v="807"/>
    <x v="1"/>
    <s v="Female"/>
    <n v="38"/>
    <n v="4"/>
    <n v="2"/>
    <x v="4"/>
    <x v="1"/>
    <s v="Married"/>
    <n v="4244"/>
    <n v="9931"/>
    <n v="1"/>
    <s v="Y"/>
    <x v="1"/>
    <n v="24"/>
    <n v="4"/>
    <n v="4"/>
    <n v="80"/>
    <n v="1"/>
    <n v="8"/>
    <n v="2"/>
    <x v="1"/>
    <x v="3"/>
    <n v="7"/>
    <n v="3"/>
    <n v="7"/>
  </r>
  <r>
    <n v="34"/>
    <x v="1"/>
    <s v="Travel_Rarely"/>
    <n v="1111"/>
    <x v="0"/>
    <n v="8"/>
    <n v="2"/>
    <s v="Life Sciences"/>
    <n v="1"/>
    <n v="808"/>
    <x v="1"/>
    <s v="Female"/>
    <n v="93"/>
    <n v="3"/>
    <n v="2"/>
    <x v="0"/>
    <x v="3"/>
    <s v="Married"/>
    <n v="6500"/>
    <n v="13305"/>
    <n v="5"/>
    <s v="Y"/>
    <x v="1"/>
    <n v="17"/>
    <n v="3"/>
    <n v="2"/>
    <n v="80"/>
    <n v="1"/>
    <n v="6"/>
    <n v="1"/>
    <x v="1"/>
    <x v="11"/>
    <n v="2"/>
    <n v="1"/>
    <n v="2"/>
  </r>
  <r>
    <n v="42"/>
    <x v="1"/>
    <s v="Travel_Frequently"/>
    <n v="570"/>
    <x v="1"/>
    <n v="8"/>
    <n v="3"/>
    <s v="Life Sciences"/>
    <n v="1"/>
    <n v="809"/>
    <x v="0"/>
    <s v="Male"/>
    <n v="66"/>
    <n v="3"/>
    <n v="5"/>
    <x v="5"/>
    <x v="0"/>
    <s v="Divorced"/>
    <n v="18430"/>
    <n v="16225"/>
    <n v="1"/>
    <s v="Y"/>
    <x v="1"/>
    <n v="13"/>
    <n v="3"/>
    <n v="2"/>
    <n v="80"/>
    <n v="1"/>
    <n v="24"/>
    <n v="4"/>
    <x v="2"/>
    <x v="25"/>
    <n v="7"/>
    <n v="14"/>
    <n v="9"/>
  </r>
  <r>
    <n v="23"/>
    <x v="0"/>
    <s v="Travel_Rarely"/>
    <n v="1243"/>
    <x v="1"/>
    <n v="6"/>
    <n v="3"/>
    <s v="Life Sciences"/>
    <n v="1"/>
    <n v="811"/>
    <x v="1"/>
    <s v="Male"/>
    <n v="63"/>
    <n v="4"/>
    <n v="1"/>
    <x v="2"/>
    <x v="3"/>
    <s v="Married"/>
    <n v="1601"/>
    <n v="3445"/>
    <n v="1"/>
    <s v="Y"/>
    <x v="0"/>
    <n v="21"/>
    <n v="4"/>
    <n v="3"/>
    <n v="80"/>
    <n v="2"/>
    <n v="1"/>
    <n v="2"/>
    <x v="1"/>
    <x v="2"/>
    <n v="0"/>
    <n v="0"/>
    <n v="0"/>
  </r>
  <r>
    <n v="24"/>
    <x v="1"/>
    <s v="Non-Travel"/>
    <n v="1092"/>
    <x v="1"/>
    <n v="9"/>
    <n v="3"/>
    <s v="Life Sciences"/>
    <n v="1"/>
    <n v="812"/>
    <x v="1"/>
    <s v="Male"/>
    <n v="60"/>
    <n v="2"/>
    <n v="1"/>
    <x v="2"/>
    <x v="1"/>
    <s v="Divorced"/>
    <n v="2694"/>
    <n v="26551"/>
    <n v="1"/>
    <s v="Y"/>
    <x v="1"/>
    <n v="11"/>
    <n v="3"/>
    <n v="3"/>
    <n v="80"/>
    <n v="3"/>
    <n v="1"/>
    <n v="4"/>
    <x v="1"/>
    <x v="6"/>
    <n v="0"/>
    <n v="0"/>
    <n v="0"/>
  </r>
  <r>
    <n v="52"/>
    <x v="1"/>
    <s v="Travel_Rarely"/>
    <n v="1325"/>
    <x v="1"/>
    <n v="11"/>
    <n v="4"/>
    <s v="Life Sciences"/>
    <n v="1"/>
    <n v="813"/>
    <x v="2"/>
    <s v="Female"/>
    <n v="82"/>
    <n v="3"/>
    <n v="2"/>
    <x v="2"/>
    <x v="2"/>
    <s v="Married"/>
    <n v="3149"/>
    <n v="21821"/>
    <n v="8"/>
    <s v="Y"/>
    <x v="1"/>
    <n v="20"/>
    <n v="4"/>
    <n v="2"/>
    <n v="80"/>
    <n v="1"/>
    <n v="9"/>
    <n v="3"/>
    <x v="1"/>
    <x v="8"/>
    <n v="2"/>
    <n v="1"/>
    <n v="4"/>
  </r>
  <r>
    <n v="50"/>
    <x v="1"/>
    <s v="Travel_Rarely"/>
    <n v="691"/>
    <x v="1"/>
    <n v="2"/>
    <n v="3"/>
    <s v="Medical"/>
    <n v="1"/>
    <n v="815"/>
    <x v="1"/>
    <s v="Male"/>
    <n v="64"/>
    <n v="3"/>
    <n v="4"/>
    <x v="7"/>
    <x v="2"/>
    <s v="Married"/>
    <n v="17639"/>
    <n v="6881"/>
    <n v="5"/>
    <s v="Y"/>
    <x v="1"/>
    <n v="16"/>
    <n v="3"/>
    <n v="4"/>
    <n v="80"/>
    <n v="0"/>
    <n v="30"/>
    <n v="3"/>
    <x v="1"/>
    <x v="9"/>
    <n v="3"/>
    <n v="0"/>
    <n v="3"/>
  </r>
  <r>
    <n v="29"/>
    <x v="0"/>
    <s v="Travel_Rarely"/>
    <n v="805"/>
    <x v="1"/>
    <n v="1"/>
    <n v="2"/>
    <s v="Life Sciences"/>
    <n v="1"/>
    <n v="816"/>
    <x v="0"/>
    <s v="Female"/>
    <n v="36"/>
    <n v="2"/>
    <n v="1"/>
    <x v="2"/>
    <x v="3"/>
    <s v="Married"/>
    <n v="2319"/>
    <n v="6689"/>
    <n v="1"/>
    <s v="Y"/>
    <x v="0"/>
    <n v="11"/>
    <n v="3"/>
    <n v="4"/>
    <n v="80"/>
    <n v="1"/>
    <n v="1"/>
    <n v="1"/>
    <x v="1"/>
    <x v="6"/>
    <n v="0"/>
    <n v="0"/>
    <n v="0"/>
  </r>
  <r>
    <n v="33"/>
    <x v="1"/>
    <s v="Travel_Rarely"/>
    <n v="213"/>
    <x v="1"/>
    <n v="7"/>
    <n v="3"/>
    <s v="Medical"/>
    <n v="1"/>
    <n v="817"/>
    <x v="1"/>
    <s v="Male"/>
    <n v="49"/>
    <n v="3"/>
    <n v="3"/>
    <x v="7"/>
    <x v="2"/>
    <s v="Married"/>
    <n v="11691"/>
    <n v="25995"/>
    <n v="0"/>
    <s v="Y"/>
    <x v="1"/>
    <n v="11"/>
    <n v="3"/>
    <n v="4"/>
    <n v="80"/>
    <n v="0"/>
    <n v="14"/>
    <n v="3"/>
    <x v="3"/>
    <x v="20"/>
    <n v="9"/>
    <n v="3"/>
    <n v="7"/>
  </r>
  <r>
    <n v="33"/>
    <x v="0"/>
    <s v="Travel_Rarely"/>
    <n v="118"/>
    <x v="0"/>
    <n v="16"/>
    <n v="3"/>
    <s v="Marketing"/>
    <n v="1"/>
    <n v="819"/>
    <x v="3"/>
    <s v="Female"/>
    <n v="69"/>
    <n v="3"/>
    <n v="2"/>
    <x v="0"/>
    <x v="3"/>
    <s v="Single"/>
    <n v="5324"/>
    <n v="26507"/>
    <n v="5"/>
    <s v="Y"/>
    <x v="1"/>
    <n v="15"/>
    <n v="3"/>
    <n v="3"/>
    <n v="80"/>
    <n v="0"/>
    <n v="6"/>
    <n v="3"/>
    <x v="1"/>
    <x v="11"/>
    <n v="2"/>
    <n v="0"/>
    <n v="2"/>
  </r>
  <r>
    <n v="47"/>
    <x v="1"/>
    <s v="Travel_Rarely"/>
    <n v="202"/>
    <x v="1"/>
    <n v="2"/>
    <n v="2"/>
    <s v="Other"/>
    <n v="1"/>
    <n v="820"/>
    <x v="1"/>
    <s v="Female"/>
    <n v="33"/>
    <n v="3"/>
    <n v="4"/>
    <x v="5"/>
    <x v="0"/>
    <s v="Married"/>
    <n v="16752"/>
    <n v="12982"/>
    <n v="1"/>
    <s v="Y"/>
    <x v="0"/>
    <n v="11"/>
    <n v="3"/>
    <n v="3"/>
    <n v="80"/>
    <n v="1"/>
    <n v="26"/>
    <n v="3"/>
    <x v="2"/>
    <x v="34"/>
    <n v="14"/>
    <n v="3"/>
    <n v="0"/>
  </r>
  <r>
    <n v="36"/>
    <x v="1"/>
    <s v="Travel_Rarely"/>
    <n v="676"/>
    <x v="1"/>
    <n v="1"/>
    <n v="3"/>
    <s v="Other"/>
    <n v="1"/>
    <n v="823"/>
    <x v="1"/>
    <s v="Female"/>
    <n v="35"/>
    <n v="3"/>
    <n v="2"/>
    <x v="3"/>
    <x v="1"/>
    <s v="Married"/>
    <n v="5228"/>
    <n v="23361"/>
    <n v="0"/>
    <s v="Y"/>
    <x v="1"/>
    <n v="15"/>
    <n v="3"/>
    <n v="1"/>
    <n v="80"/>
    <n v="1"/>
    <n v="10"/>
    <n v="2"/>
    <x v="1"/>
    <x v="7"/>
    <n v="7"/>
    <n v="0"/>
    <n v="5"/>
  </r>
  <r>
    <n v="29"/>
    <x v="1"/>
    <s v="Travel_Rarely"/>
    <n v="1252"/>
    <x v="1"/>
    <n v="23"/>
    <n v="2"/>
    <s v="Life Sciences"/>
    <n v="1"/>
    <n v="824"/>
    <x v="1"/>
    <s v="Male"/>
    <n v="81"/>
    <n v="4"/>
    <n v="1"/>
    <x v="1"/>
    <x v="2"/>
    <s v="Married"/>
    <n v="2700"/>
    <n v="23779"/>
    <n v="1"/>
    <s v="Y"/>
    <x v="1"/>
    <n v="24"/>
    <n v="4"/>
    <n v="3"/>
    <n v="80"/>
    <n v="1"/>
    <n v="10"/>
    <n v="3"/>
    <x v="1"/>
    <x v="1"/>
    <n v="7"/>
    <n v="0"/>
    <n v="7"/>
  </r>
  <r>
    <n v="58"/>
    <x v="0"/>
    <s v="Travel_Rarely"/>
    <n v="286"/>
    <x v="1"/>
    <n v="2"/>
    <n v="4"/>
    <s v="Life Sciences"/>
    <n v="1"/>
    <n v="825"/>
    <x v="2"/>
    <s v="Male"/>
    <n v="31"/>
    <n v="3"/>
    <n v="5"/>
    <x v="7"/>
    <x v="1"/>
    <s v="Single"/>
    <n v="19246"/>
    <n v="25761"/>
    <n v="7"/>
    <s v="Y"/>
    <x v="0"/>
    <n v="12"/>
    <n v="3"/>
    <n v="4"/>
    <n v="80"/>
    <n v="0"/>
    <n v="40"/>
    <n v="2"/>
    <x v="1"/>
    <x v="31"/>
    <n v="15"/>
    <n v="13"/>
    <n v="8"/>
  </r>
  <r>
    <n v="35"/>
    <x v="1"/>
    <s v="Travel_Rarely"/>
    <n v="1258"/>
    <x v="1"/>
    <n v="1"/>
    <n v="4"/>
    <s v="Life Sciences"/>
    <n v="1"/>
    <n v="826"/>
    <x v="2"/>
    <s v="Female"/>
    <n v="40"/>
    <n v="4"/>
    <n v="1"/>
    <x v="1"/>
    <x v="2"/>
    <s v="Single"/>
    <n v="2506"/>
    <n v="13301"/>
    <n v="3"/>
    <s v="Y"/>
    <x v="1"/>
    <n v="13"/>
    <n v="3"/>
    <n v="3"/>
    <n v="80"/>
    <n v="0"/>
    <n v="7"/>
    <n v="0"/>
    <x v="1"/>
    <x v="4"/>
    <n v="2"/>
    <n v="2"/>
    <n v="2"/>
  </r>
  <r>
    <n v="42"/>
    <x v="1"/>
    <s v="Travel_Rarely"/>
    <n v="932"/>
    <x v="1"/>
    <n v="1"/>
    <n v="2"/>
    <s v="Life Sciences"/>
    <n v="1"/>
    <n v="827"/>
    <x v="2"/>
    <s v="Female"/>
    <n v="43"/>
    <n v="2"/>
    <n v="2"/>
    <x v="3"/>
    <x v="0"/>
    <s v="Married"/>
    <n v="6062"/>
    <n v="4051"/>
    <n v="9"/>
    <s v="Y"/>
    <x v="0"/>
    <n v="13"/>
    <n v="3"/>
    <n v="4"/>
    <n v="80"/>
    <n v="1"/>
    <n v="8"/>
    <n v="4"/>
    <x v="1"/>
    <x v="9"/>
    <n v="3"/>
    <n v="0"/>
    <n v="2"/>
  </r>
  <r>
    <n v="28"/>
    <x v="0"/>
    <s v="Travel_Rarely"/>
    <n v="890"/>
    <x v="1"/>
    <n v="2"/>
    <n v="4"/>
    <s v="Medical"/>
    <n v="1"/>
    <n v="828"/>
    <x v="1"/>
    <s v="Male"/>
    <n v="46"/>
    <n v="3"/>
    <n v="1"/>
    <x v="1"/>
    <x v="2"/>
    <s v="Single"/>
    <n v="4382"/>
    <n v="16374"/>
    <n v="6"/>
    <s v="Y"/>
    <x v="1"/>
    <n v="17"/>
    <n v="3"/>
    <n v="4"/>
    <n v="80"/>
    <n v="0"/>
    <n v="5"/>
    <n v="3"/>
    <x v="2"/>
    <x v="4"/>
    <n v="2"/>
    <n v="2"/>
    <n v="1"/>
  </r>
  <r>
    <n v="36"/>
    <x v="1"/>
    <s v="Travel_Rarely"/>
    <n v="1041"/>
    <x v="2"/>
    <n v="13"/>
    <n v="3"/>
    <s v="Human Resources"/>
    <n v="1"/>
    <n v="829"/>
    <x v="1"/>
    <s v="Male"/>
    <n v="36"/>
    <n v="3"/>
    <n v="1"/>
    <x v="8"/>
    <x v="1"/>
    <s v="Married"/>
    <n v="2143"/>
    <n v="25527"/>
    <n v="4"/>
    <s v="Y"/>
    <x v="1"/>
    <n v="13"/>
    <n v="3"/>
    <n v="2"/>
    <n v="80"/>
    <n v="1"/>
    <n v="8"/>
    <n v="2"/>
    <x v="1"/>
    <x v="8"/>
    <n v="2"/>
    <n v="0"/>
    <n v="4"/>
  </r>
  <r>
    <n v="32"/>
    <x v="1"/>
    <s v="Travel_Rarely"/>
    <n v="859"/>
    <x v="1"/>
    <n v="4"/>
    <n v="3"/>
    <s v="Life Sciences"/>
    <n v="1"/>
    <n v="830"/>
    <x v="1"/>
    <s v="Female"/>
    <n v="98"/>
    <n v="2"/>
    <n v="2"/>
    <x v="3"/>
    <x v="2"/>
    <s v="Married"/>
    <n v="6162"/>
    <n v="19124"/>
    <n v="1"/>
    <s v="Y"/>
    <x v="1"/>
    <n v="12"/>
    <n v="3"/>
    <n v="3"/>
    <n v="80"/>
    <n v="1"/>
    <n v="14"/>
    <n v="3"/>
    <x v="1"/>
    <x v="13"/>
    <n v="13"/>
    <n v="6"/>
    <n v="8"/>
  </r>
  <r>
    <n v="40"/>
    <x v="1"/>
    <s v="Travel_Frequently"/>
    <n v="720"/>
    <x v="1"/>
    <n v="16"/>
    <n v="4"/>
    <s v="Medical"/>
    <n v="1"/>
    <n v="832"/>
    <x v="3"/>
    <s v="Male"/>
    <n v="51"/>
    <n v="2"/>
    <n v="2"/>
    <x v="2"/>
    <x v="2"/>
    <s v="Single"/>
    <n v="5094"/>
    <n v="11983"/>
    <n v="6"/>
    <s v="Y"/>
    <x v="1"/>
    <n v="14"/>
    <n v="3"/>
    <n v="4"/>
    <n v="80"/>
    <n v="0"/>
    <n v="10"/>
    <n v="6"/>
    <x v="1"/>
    <x v="6"/>
    <n v="0"/>
    <n v="0"/>
    <n v="0"/>
  </r>
  <r>
    <n v="30"/>
    <x v="1"/>
    <s v="Travel_Rarely"/>
    <n v="946"/>
    <x v="1"/>
    <n v="2"/>
    <n v="3"/>
    <s v="Medical"/>
    <n v="1"/>
    <n v="833"/>
    <x v="1"/>
    <s v="Female"/>
    <n v="52"/>
    <n v="2"/>
    <n v="2"/>
    <x v="3"/>
    <x v="0"/>
    <s v="Single"/>
    <n v="6877"/>
    <n v="20234"/>
    <n v="5"/>
    <s v="Y"/>
    <x v="0"/>
    <n v="24"/>
    <n v="4"/>
    <n v="2"/>
    <n v="80"/>
    <n v="0"/>
    <n v="12"/>
    <n v="4"/>
    <x v="2"/>
    <x v="2"/>
    <n v="0"/>
    <n v="0"/>
    <n v="0"/>
  </r>
  <r>
    <n v="45"/>
    <x v="1"/>
    <s v="Travel_Rarely"/>
    <n v="252"/>
    <x v="1"/>
    <n v="2"/>
    <n v="3"/>
    <s v="Life Sciences"/>
    <n v="1"/>
    <n v="834"/>
    <x v="0"/>
    <s v="Female"/>
    <n v="95"/>
    <n v="2"/>
    <n v="1"/>
    <x v="1"/>
    <x v="2"/>
    <s v="Single"/>
    <n v="2274"/>
    <n v="6153"/>
    <n v="1"/>
    <s v="Y"/>
    <x v="1"/>
    <n v="14"/>
    <n v="3"/>
    <n v="4"/>
    <n v="80"/>
    <n v="0"/>
    <n v="1"/>
    <n v="3"/>
    <x v="1"/>
    <x v="6"/>
    <n v="0"/>
    <n v="0"/>
    <n v="0"/>
  </r>
  <r>
    <n v="42"/>
    <x v="1"/>
    <s v="Travel_Rarely"/>
    <n v="933"/>
    <x v="1"/>
    <n v="29"/>
    <n v="3"/>
    <s v="Life Sciences"/>
    <n v="1"/>
    <n v="836"/>
    <x v="0"/>
    <s v="Male"/>
    <n v="98"/>
    <n v="3"/>
    <n v="2"/>
    <x v="3"/>
    <x v="1"/>
    <s v="Married"/>
    <n v="4434"/>
    <n v="11806"/>
    <n v="1"/>
    <s v="Y"/>
    <x v="1"/>
    <n v="13"/>
    <n v="3"/>
    <n v="4"/>
    <n v="80"/>
    <n v="1"/>
    <n v="10"/>
    <n v="3"/>
    <x v="2"/>
    <x v="7"/>
    <n v="8"/>
    <n v="7"/>
    <n v="8"/>
  </r>
  <r>
    <n v="38"/>
    <x v="1"/>
    <s v="Travel_Frequently"/>
    <n v="471"/>
    <x v="1"/>
    <n v="12"/>
    <n v="3"/>
    <s v="Life Sciences"/>
    <n v="1"/>
    <n v="837"/>
    <x v="3"/>
    <s v="Male"/>
    <n v="45"/>
    <n v="2"/>
    <n v="2"/>
    <x v="4"/>
    <x v="3"/>
    <s v="Divorced"/>
    <n v="6288"/>
    <n v="4284"/>
    <n v="2"/>
    <s v="Y"/>
    <x v="1"/>
    <n v="15"/>
    <n v="3"/>
    <n v="3"/>
    <n v="80"/>
    <n v="1"/>
    <n v="13"/>
    <n v="3"/>
    <x v="2"/>
    <x v="9"/>
    <n v="3"/>
    <n v="1"/>
    <n v="2"/>
  </r>
  <r>
    <n v="34"/>
    <x v="1"/>
    <s v="Travel_Frequently"/>
    <n v="702"/>
    <x v="1"/>
    <n v="16"/>
    <n v="4"/>
    <s v="Life Sciences"/>
    <n v="1"/>
    <n v="838"/>
    <x v="1"/>
    <s v="Female"/>
    <n v="100"/>
    <n v="2"/>
    <n v="1"/>
    <x v="1"/>
    <x v="0"/>
    <s v="Single"/>
    <n v="2553"/>
    <n v="8306"/>
    <n v="1"/>
    <s v="Y"/>
    <x v="1"/>
    <n v="16"/>
    <n v="3"/>
    <n v="3"/>
    <n v="80"/>
    <n v="0"/>
    <n v="6"/>
    <n v="3"/>
    <x v="1"/>
    <x v="8"/>
    <n v="2"/>
    <n v="1"/>
    <n v="3"/>
  </r>
  <r>
    <n v="49"/>
    <x v="0"/>
    <s v="Travel_Rarely"/>
    <n v="1184"/>
    <x v="0"/>
    <n v="11"/>
    <n v="3"/>
    <s v="Marketing"/>
    <n v="1"/>
    <n v="840"/>
    <x v="1"/>
    <s v="Female"/>
    <n v="43"/>
    <n v="3"/>
    <n v="3"/>
    <x v="0"/>
    <x v="0"/>
    <s v="Married"/>
    <n v="7654"/>
    <n v="5860"/>
    <n v="1"/>
    <s v="Y"/>
    <x v="1"/>
    <n v="18"/>
    <n v="3"/>
    <n v="1"/>
    <n v="80"/>
    <n v="2"/>
    <n v="9"/>
    <n v="3"/>
    <x v="3"/>
    <x v="7"/>
    <n v="8"/>
    <n v="7"/>
    <n v="7"/>
  </r>
  <r>
    <n v="55"/>
    <x v="0"/>
    <s v="Travel_Rarely"/>
    <n v="436"/>
    <x v="0"/>
    <n v="2"/>
    <n v="1"/>
    <s v="Medical"/>
    <n v="1"/>
    <n v="842"/>
    <x v="1"/>
    <s v="Male"/>
    <n v="37"/>
    <n v="3"/>
    <n v="2"/>
    <x v="0"/>
    <x v="0"/>
    <s v="Single"/>
    <n v="5160"/>
    <n v="21519"/>
    <n v="4"/>
    <s v="Y"/>
    <x v="1"/>
    <n v="16"/>
    <n v="3"/>
    <n v="3"/>
    <n v="80"/>
    <n v="0"/>
    <n v="12"/>
    <n v="3"/>
    <x v="2"/>
    <x v="7"/>
    <n v="7"/>
    <n v="7"/>
    <n v="3"/>
  </r>
  <r>
    <n v="43"/>
    <x v="1"/>
    <s v="Travel_Rarely"/>
    <n v="589"/>
    <x v="1"/>
    <n v="14"/>
    <n v="2"/>
    <s v="Life Sciences"/>
    <n v="1"/>
    <n v="843"/>
    <x v="0"/>
    <s v="Male"/>
    <n v="94"/>
    <n v="3"/>
    <n v="4"/>
    <x v="7"/>
    <x v="3"/>
    <s v="Married"/>
    <n v="17159"/>
    <n v="5200"/>
    <n v="6"/>
    <s v="Y"/>
    <x v="1"/>
    <n v="24"/>
    <n v="4"/>
    <n v="3"/>
    <n v="80"/>
    <n v="1"/>
    <n v="22"/>
    <n v="3"/>
    <x v="1"/>
    <x v="9"/>
    <n v="1"/>
    <n v="1"/>
    <n v="0"/>
  </r>
  <r>
    <n v="27"/>
    <x v="1"/>
    <s v="Travel_Rarely"/>
    <n v="269"/>
    <x v="1"/>
    <n v="5"/>
    <n v="1"/>
    <s v="Technical Degree"/>
    <n v="1"/>
    <n v="844"/>
    <x v="1"/>
    <s v="Male"/>
    <n v="42"/>
    <n v="2"/>
    <n v="3"/>
    <x v="7"/>
    <x v="0"/>
    <s v="Divorced"/>
    <n v="12808"/>
    <n v="8842"/>
    <n v="1"/>
    <s v="Y"/>
    <x v="0"/>
    <n v="16"/>
    <n v="3"/>
    <n v="2"/>
    <n v="80"/>
    <n v="1"/>
    <n v="9"/>
    <n v="3"/>
    <x v="1"/>
    <x v="7"/>
    <n v="8"/>
    <n v="0"/>
    <n v="8"/>
  </r>
  <r>
    <n v="35"/>
    <x v="1"/>
    <s v="Travel_Rarely"/>
    <n v="950"/>
    <x v="1"/>
    <n v="7"/>
    <n v="3"/>
    <s v="Other"/>
    <n v="1"/>
    <n v="845"/>
    <x v="1"/>
    <s v="Male"/>
    <n v="59"/>
    <n v="3"/>
    <n v="3"/>
    <x v="3"/>
    <x v="2"/>
    <s v="Single"/>
    <n v="10221"/>
    <n v="18869"/>
    <n v="3"/>
    <s v="Y"/>
    <x v="1"/>
    <n v="21"/>
    <n v="4"/>
    <n v="2"/>
    <n v="80"/>
    <n v="0"/>
    <n v="17"/>
    <n v="3"/>
    <x v="3"/>
    <x v="3"/>
    <n v="5"/>
    <n v="1"/>
    <n v="6"/>
  </r>
  <r>
    <n v="28"/>
    <x v="1"/>
    <s v="Travel_Rarely"/>
    <n v="760"/>
    <x v="0"/>
    <n v="2"/>
    <n v="4"/>
    <s v="Marketing"/>
    <n v="1"/>
    <n v="846"/>
    <x v="0"/>
    <s v="Female"/>
    <n v="81"/>
    <n v="3"/>
    <n v="2"/>
    <x v="0"/>
    <x v="1"/>
    <s v="Married"/>
    <n v="4779"/>
    <n v="3698"/>
    <n v="1"/>
    <s v="Y"/>
    <x v="0"/>
    <n v="20"/>
    <n v="4"/>
    <n v="1"/>
    <n v="80"/>
    <n v="0"/>
    <n v="8"/>
    <n v="2"/>
    <x v="1"/>
    <x v="3"/>
    <n v="7"/>
    <n v="7"/>
    <n v="5"/>
  </r>
  <r>
    <n v="34"/>
    <x v="1"/>
    <s v="Travel_Rarely"/>
    <n v="829"/>
    <x v="2"/>
    <n v="3"/>
    <n v="2"/>
    <s v="Human Resources"/>
    <n v="1"/>
    <n v="847"/>
    <x v="1"/>
    <s v="Male"/>
    <n v="88"/>
    <n v="3"/>
    <n v="1"/>
    <x v="8"/>
    <x v="0"/>
    <s v="Married"/>
    <n v="3737"/>
    <n v="2243"/>
    <n v="0"/>
    <s v="Y"/>
    <x v="1"/>
    <n v="19"/>
    <n v="3"/>
    <n v="3"/>
    <n v="80"/>
    <n v="1"/>
    <n v="4"/>
    <n v="1"/>
    <x v="0"/>
    <x v="11"/>
    <n v="2"/>
    <n v="0"/>
    <n v="2"/>
  </r>
  <r>
    <n v="26"/>
    <x v="0"/>
    <s v="Travel_Frequently"/>
    <n v="887"/>
    <x v="1"/>
    <n v="5"/>
    <n v="2"/>
    <s v="Medical"/>
    <n v="1"/>
    <n v="848"/>
    <x v="1"/>
    <s v="Female"/>
    <n v="88"/>
    <n v="2"/>
    <n v="1"/>
    <x v="1"/>
    <x v="2"/>
    <s v="Married"/>
    <n v="2366"/>
    <n v="20898"/>
    <n v="1"/>
    <s v="Y"/>
    <x v="0"/>
    <n v="14"/>
    <n v="3"/>
    <n v="1"/>
    <n v="80"/>
    <n v="1"/>
    <n v="8"/>
    <n v="2"/>
    <x v="1"/>
    <x v="3"/>
    <n v="7"/>
    <n v="1"/>
    <n v="7"/>
  </r>
  <r>
    <n v="27"/>
    <x v="1"/>
    <s v="Non-Travel"/>
    <n v="443"/>
    <x v="1"/>
    <n v="3"/>
    <n v="3"/>
    <s v="Medical"/>
    <n v="1"/>
    <n v="850"/>
    <x v="2"/>
    <s v="Male"/>
    <n v="50"/>
    <n v="3"/>
    <n v="1"/>
    <x v="1"/>
    <x v="0"/>
    <s v="Married"/>
    <n v="1706"/>
    <n v="16571"/>
    <n v="1"/>
    <s v="Y"/>
    <x v="1"/>
    <n v="11"/>
    <n v="3"/>
    <n v="3"/>
    <n v="80"/>
    <n v="3"/>
    <n v="0"/>
    <n v="6"/>
    <x v="2"/>
    <x v="2"/>
    <n v="0"/>
    <n v="0"/>
    <n v="0"/>
  </r>
  <r>
    <n v="51"/>
    <x v="1"/>
    <s v="Travel_Rarely"/>
    <n v="1318"/>
    <x v="0"/>
    <n v="26"/>
    <n v="4"/>
    <s v="Marketing"/>
    <n v="1"/>
    <n v="851"/>
    <x v="3"/>
    <s v="Female"/>
    <n v="66"/>
    <n v="3"/>
    <n v="4"/>
    <x v="5"/>
    <x v="2"/>
    <s v="Married"/>
    <n v="16307"/>
    <n v="5594"/>
    <n v="2"/>
    <s v="Y"/>
    <x v="1"/>
    <n v="14"/>
    <n v="3"/>
    <n v="3"/>
    <n v="80"/>
    <n v="1"/>
    <n v="29"/>
    <n v="2"/>
    <x v="2"/>
    <x v="23"/>
    <n v="6"/>
    <n v="4"/>
    <n v="17"/>
  </r>
  <r>
    <n v="44"/>
    <x v="1"/>
    <s v="Travel_Rarely"/>
    <n v="625"/>
    <x v="1"/>
    <n v="4"/>
    <n v="3"/>
    <s v="Medical"/>
    <n v="1"/>
    <n v="852"/>
    <x v="2"/>
    <s v="Male"/>
    <n v="50"/>
    <n v="3"/>
    <n v="2"/>
    <x v="4"/>
    <x v="1"/>
    <s v="Single"/>
    <n v="5933"/>
    <n v="5197"/>
    <n v="9"/>
    <s v="Y"/>
    <x v="1"/>
    <n v="12"/>
    <n v="3"/>
    <n v="4"/>
    <n v="80"/>
    <n v="0"/>
    <n v="10"/>
    <n v="2"/>
    <x v="2"/>
    <x v="8"/>
    <n v="2"/>
    <n v="2"/>
    <n v="3"/>
  </r>
  <r>
    <n v="25"/>
    <x v="1"/>
    <s v="Travel_Rarely"/>
    <n v="180"/>
    <x v="1"/>
    <n v="2"/>
    <n v="1"/>
    <s v="Medical"/>
    <n v="1"/>
    <n v="854"/>
    <x v="3"/>
    <s v="Male"/>
    <n v="65"/>
    <n v="4"/>
    <n v="1"/>
    <x v="1"/>
    <x v="3"/>
    <s v="Single"/>
    <n v="3424"/>
    <n v="21632"/>
    <n v="7"/>
    <s v="Y"/>
    <x v="1"/>
    <n v="13"/>
    <n v="3"/>
    <n v="3"/>
    <n v="80"/>
    <n v="0"/>
    <n v="6"/>
    <n v="3"/>
    <x v="2"/>
    <x v="9"/>
    <n v="3"/>
    <n v="0"/>
    <n v="1"/>
  </r>
  <r>
    <n v="33"/>
    <x v="1"/>
    <s v="Travel_Rarely"/>
    <n v="586"/>
    <x v="0"/>
    <n v="1"/>
    <n v="3"/>
    <s v="Medical"/>
    <n v="1"/>
    <n v="855"/>
    <x v="3"/>
    <s v="Male"/>
    <n v="48"/>
    <n v="4"/>
    <n v="2"/>
    <x v="0"/>
    <x v="3"/>
    <s v="Divorced"/>
    <n v="4037"/>
    <n v="21816"/>
    <n v="1"/>
    <s v="Y"/>
    <x v="1"/>
    <n v="22"/>
    <n v="4"/>
    <n v="1"/>
    <n v="80"/>
    <n v="1"/>
    <n v="9"/>
    <n v="5"/>
    <x v="1"/>
    <x v="7"/>
    <n v="8"/>
    <n v="0"/>
    <n v="8"/>
  </r>
  <r>
    <n v="35"/>
    <x v="1"/>
    <s v="Travel_Rarely"/>
    <n v="1343"/>
    <x v="1"/>
    <n v="27"/>
    <n v="1"/>
    <s v="Medical"/>
    <n v="1"/>
    <n v="856"/>
    <x v="1"/>
    <s v="Female"/>
    <n v="53"/>
    <n v="2"/>
    <n v="1"/>
    <x v="1"/>
    <x v="3"/>
    <s v="Single"/>
    <n v="2559"/>
    <n v="17852"/>
    <n v="1"/>
    <s v="Y"/>
    <x v="1"/>
    <n v="11"/>
    <n v="3"/>
    <n v="4"/>
    <n v="80"/>
    <n v="0"/>
    <n v="6"/>
    <n v="3"/>
    <x v="2"/>
    <x v="0"/>
    <n v="5"/>
    <n v="1"/>
    <n v="1"/>
  </r>
  <r>
    <n v="36"/>
    <x v="1"/>
    <s v="Travel_Rarely"/>
    <n v="928"/>
    <x v="0"/>
    <n v="1"/>
    <n v="2"/>
    <s v="Life Sciences"/>
    <n v="1"/>
    <n v="857"/>
    <x v="0"/>
    <s v="Male"/>
    <n v="56"/>
    <n v="3"/>
    <n v="2"/>
    <x v="0"/>
    <x v="0"/>
    <s v="Married"/>
    <n v="6201"/>
    <n v="2823"/>
    <n v="1"/>
    <s v="Y"/>
    <x v="0"/>
    <n v="14"/>
    <n v="3"/>
    <n v="4"/>
    <n v="80"/>
    <n v="1"/>
    <n v="18"/>
    <n v="1"/>
    <x v="2"/>
    <x v="29"/>
    <n v="14"/>
    <n v="4"/>
    <n v="11"/>
  </r>
  <r>
    <n v="32"/>
    <x v="1"/>
    <s v="Travel_Rarely"/>
    <n v="117"/>
    <x v="0"/>
    <n v="13"/>
    <n v="4"/>
    <s v="Life Sciences"/>
    <n v="1"/>
    <n v="859"/>
    <x v="0"/>
    <s v="Male"/>
    <n v="73"/>
    <n v="3"/>
    <n v="2"/>
    <x v="0"/>
    <x v="0"/>
    <s v="Divorced"/>
    <n v="4403"/>
    <n v="9250"/>
    <n v="2"/>
    <s v="Y"/>
    <x v="1"/>
    <n v="11"/>
    <n v="3"/>
    <n v="3"/>
    <n v="80"/>
    <n v="1"/>
    <n v="8"/>
    <n v="3"/>
    <x v="2"/>
    <x v="8"/>
    <n v="2"/>
    <n v="0"/>
    <n v="3"/>
  </r>
  <r>
    <n v="30"/>
    <x v="1"/>
    <s v="Travel_Frequently"/>
    <n v="1012"/>
    <x v="1"/>
    <n v="5"/>
    <n v="4"/>
    <s v="Life Sciences"/>
    <n v="1"/>
    <n v="861"/>
    <x v="0"/>
    <s v="Male"/>
    <n v="75"/>
    <n v="2"/>
    <n v="1"/>
    <x v="1"/>
    <x v="0"/>
    <s v="Divorced"/>
    <n v="3761"/>
    <n v="2373"/>
    <n v="9"/>
    <s v="Y"/>
    <x v="1"/>
    <n v="12"/>
    <n v="3"/>
    <n v="2"/>
    <n v="80"/>
    <n v="1"/>
    <n v="10"/>
    <n v="3"/>
    <x v="2"/>
    <x v="8"/>
    <n v="4"/>
    <n v="0"/>
    <n v="3"/>
  </r>
  <r>
    <n v="53"/>
    <x v="1"/>
    <s v="Travel_Rarely"/>
    <n v="661"/>
    <x v="0"/>
    <n v="7"/>
    <n v="2"/>
    <s v="Marketing"/>
    <n v="1"/>
    <n v="862"/>
    <x v="3"/>
    <s v="Female"/>
    <n v="78"/>
    <n v="2"/>
    <n v="3"/>
    <x v="0"/>
    <x v="0"/>
    <s v="Married"/>
    <n v="10934"/>
    <n v="20715"/>
    <n v="7"/>
    <s v="Y"/>
    <x v="0"/>
    <n v="18"/>
    <n v="3"/>
    <n v="4"/>
    <n v="80"/>
    <n v="1"/>
    <n v="35"/>
    <n v="3"/>
    <x v="1"/>
    <x v="8"/>
    <n v="2"/>
    <n v="0"/>
    <n v="4"/>
  </r>
  <r>
    <n v="45"/>
    <x v="1"/>
    <s v="Travel_Rarely"/>
    <n v="930"/>
    <x v="0"/>
    <n v="9"/>
    <n v="3"/>
    <s v="Marketing"/>
    <n v="1"/>
    <n v="864"/>
    <x v="2"/>
    <s v="Male"/>
    <n v="74"/>
    <n v="3"/>
    <n v="3"/>
    <x v="0"/>
    <x v="3"/>
    <s v="Divorced"/>
    <n v="10761"/>
    <n v="19239"/>
    <n v="4"/>
    <s v="Y"/>
    <x v="0"/>
    <n v="12"/>
    <n v="3"/>
    <n v="3"/>
    <n v="80"/>
    <n v="1"/>
    <n v="18"/>
    <n v="2"/>
    <x v="1"/>
    <x v="8"/>
    <n v="4"/>
    <n v="0"/>
    <n v="2"/>
  </r>
  <r>
    <n v="32"/>
    <x v="1"/>
    <s v="Travel_Rarely"/>
    <n v="638"/>
    <x v="1"/>
    <n v="8"/>
    <n v="2"/>
    <s v="Medical"/>
    <n v="1"/>
    <n v="865"/>
    <x v="1"/>
    <s v="Female"/>
    <n v="91"/>
    <n v="4"/>
    <n v="2"/>
    <x v="1"/>
    <x v="2"/>
    <s v="Married"/>
    <n v="5175"/>
    <n v="22162"/>
    <n v="5"/>
    <s v="Y"/>
    <x v="1"/>
    <n v="12"/>
    <n v="3"/>
    <n v="3"/>
    <n v="80"/>
    <n v="1"/>
    <n v="9"/>
    <n v="3"/>
    <x v="2"/>
    <x v="8"/>
    <n v="3"/>
    <n v="1"/>
    <n v="3"/>
  </r>
  <r>
    <n v="52"/>
    <x v="1"/>
    <s v="Travel_Frequently"/>
    <n v="890"/>
    <x v="1"/>
    <n v="25"/>
    <n v="4"/>
    <s v="Medical"/>
    <n v="1"/>
    <n v="867"/>
    <x v="1"/>
    <s v="Female"/>
    <n v="81"/>
    <n v="2"/>
    <n v="4"/>
    <x v="3"/>
    <x v="0"/>
    <s v="Married"/>
    <n v="13826"/>
    <n v="19028"/>
    <n v="3"/>
    <s v="Y"/>
    <x v="1"/>
    <n v="22"/>
    <n v="4"/>
    <n v="3"/>
    <n v="80"/>
    <n v="0"/>
    <n v="31"/>
    <n v="3"/>
    <x v="1"/>
    <x v="7"/>
    <n v="8"/>
    <n v="0"/>
    <n v="0"/>
  </r>
  <r>
    <n v="37"/>
    <x v="1"/>
    <s v="Travel_Rarely"/>
    <n v="342"/>
    <x v="0"/>
    <n v="16"/>
    <n v="4"/>
    <s v="Marketing"/>
    <n v="1"/>
    <n v="868"/>
    <x v="2"/>
    <s v="Male"/>
    <n v="66"/>
    <n v="2"/>
    <n v="2"/>
    <x v="0"/>
    <x v="2"/>
    <s v="Divorced"/>
    <n v="6334"/>
    <n v="24558"/>
    <n v="4"/>
    <s v="Y"/>
    <x v="1"/>
    <n v="19"/>
    <n v="3"/>
    <n v="4"/>
    <n v="80"/>
    <n v="2"/>
    <n v="9"/>
    <n v="2"/>
    <x v="1"/>
    <x v="6"/>
    <n v="0"/>
    <n v="0"/>
    <n v="0"/>
  </r>
  <r>
    <n v="28"/>
    <x v="1"/>
    <s v="Travel_Rarely"/>
    <n v="1169"/>
    <x v="2"/>
    <n v="8"/>
    <n v="2"/>
    <s v="Medical"/>
    <n v="1"/>
    <n v="869"/>
    <x v="0"/>
    <s v="Male"/>
    <n v="63"/>
    <n v="2"/>
    <n v="1"/>
    <x v="8"/>
    <x v="0"/>
    <s v="Divorced"/>
    <n v="4936"/>
    <n v="23965"/>
    <n v="1"/>
    <s v="Y"/>
    <x v="1"/>
    <n v="13"/>
    <n v="3"/>
    <n v="4"/>
    <n v="80"/>
    <n v="1"/>
    <n v="6"/>
    <n v="6"/>
    <x v="1"/>
    <x v="8"/>
    <n v="1"/>
    <n v="0"/>
    <n v="4"/>
  </r>
  <r>
    <n v="22"/>
    <x v="1"/>
    <s v="Travel_Rarely"/>
    <n v="1230"/>
    <x v="1"/>
    <n v="1"/>
    <n v="2"/>
    <s v="Life Sciences"/>
    <n v="1"/>
    <n v="872"/>
    <x v="2"/>
    <s v="Male"/>
    <n v="33"/>
    <n v="2"/>
    <n v="2"/>
    <x v="3"/>
    <x v="0"/>
    <s v="Married"/>
    <n v="4775"/>
    <n v="19146"/>
    <n v="6"/>
    <s v="Y"/>
    <x v="1"/>
    <n v="22"/>
    <n v="4"/>
    <n v="1"/>
    <n v="80"/>
    <n v="2"/>
    <n v="4"/>
    <n v="2"/>
    <x v="0"/>
    <x v="4"/>
    <n v="2"/>
    <n v="2"/>
    <n v="2"/>
  </r>
  <r>
    <n v="44"/>
    <x v="1"/>
    <s v="Travel_Rarely"/>
    <n v="986"/>
    <x v="1"/>
    <n v="8"/>
    <n v="4"/>
    <s v="Life Sciences"/>
    <n v="1"/>
    <n v="874"/>
    <x v="3"/>
    <s v="Male"/>
    <n v="62"/>
    <n v="4"/>
    <n v="1"/>
    <x v="2"/>
    <x v="0"/>
    <s v="Married"/>
    <n v="2818"/>
    <n v="5044"/>
    <n v="2"/>
    <s v="Y"/>
    <x v="0"/>
    <n v="24"/>
    <n v="4"/>
    <n v="3"/>
    <n v="80"/>
    <n v="1"/>
    <n v="10"/>
    <n v="2"/>
    <x v="2"/>
    <x v="11"/>
    <n v="2"/>
    <n v="0"/>
    <n v="2"/>
  </r>
  <r>
    <n v="42"/>
    <x v="1"/>
    <s v="Travel_Frequently"/>
    <n v="1271"/>
    <x v="1"/>
    <n v="2"/>
    <n v="1"/>
    <s v="Medical"/>
    <n v="1"/>
    <n v="875"/>
    <x v="0"/>
    <s v="Male"/>
    <n v="35"/>
    <n v="3"/>
    <n v="1"/>
    <x v="1"/>
    <x v="0"/>
    <s v="Single"/>
    <n v="2515"/>
    <n v="9068"/>
    <n v="5"/>
    <s v="Y"/>
    <x v="0"/>
    <n v="14"/>
    <n v="3"/>
    <n v="4"/>
    <n v="80"/>
    <n v="0"/>
    <n v="8"/>
    <n v="2"/>
    <x v="1"/>
    <x v="4"/>
    <n v="1"/>
    <n v="2"/>
    <n v="2"/>
  </r>
  <r>
    <n v="36"/>
    <x v="1"/>
    <s v="Travel_Rarely"/>
    <n v="1278"/>
    <x v="2"/>
    <n v="8"/>
    <n v="3"/>
    <s v="Life Sciences"/>
    <n v="1"/>
    <n v="878"/>
    <x v="3"/>
    <s v="Male"/>
    <n v="77"/>
    <n v="2"/>
    <n v="1"/>
    <x v="8"/>
    <x v="3"/>
    <s v="Married"/>
    <n v="2342"/>
    <n v="8635"/>
    <n v="0"/>
    <s v="Y"/>
    <x v="1"/>
    <n v="21"/>
    <n v="4"/>
    <n v="3"/>
    <n v="80"/>
    <n v="0"/>
    <n v="6"/>
    <n v="3"/>
    <x v="1"/>
    <x v="8"/>
    <n v="4"/>
    <n v="0"/>
    <n v="3"/>
  </r>
  <r>
    <n v="25"/>
    <x v="1"/>
    <s v="Travel_Rarely"/>
    <n v="141"/>
    <x v="0"/>
    <n v="3"/>
    <n v="1"/>
    <s v="Other"/>
    <n v="1"/>
    <n v="879"/>
    <x v="1"/>
    <s v="Male"/>
    <n v="98"/>
    <n v="3"/>
    <n v="2"/>
    <x v="0"/>
    <x v="3"/>
    <s v="Married"/>
    <n v="4194"/>
    <n v="14363"/>
    <n v="1"/>
    <s v="Y"/>
    <x v="0"/>
    <n v="18"/>
    <n v="3"/>
    <n v="4"/>
    <n v="80"/>
    <n v="0"/>
    <n v="5"/>
    <n v="3"/>
    <x v="1"/>
    <x v="8"/>
    <n v="3"/>
    <n v="0"/>
    <n v="3"/>
  </r>
  <r>
    <n v="35"/>
    <x v="1"/>
    <s v="Travel_Rarely"/>
    <n v="607"/>
    <x v="1"/>
    <n v="9"/>
    <n v="3"/>
    <s v="Life Sciences"/>
    <n v="1"/>
    <n v="880"/>
    <x v="2"/>
    <s v="Female"/>
    <n v="66"/>
    <n v="2"/>
    <n v="3"/>
    <x v="3"/>
    <x v="2"/>
    <s v="Married"/>
    <n v="10685"/>
    <n v="23457"/>
    <n v="1"/>
    <s v="Y"/>
    <x v="0"/>
    <n v="20"/>
    <n v="4"/>
    <n v="2"/>
    <n v="80"/>
    <n v="1"/>
    <n v="17"/>
    <n v="2"/>
    <x v="1"/>
    <x v="18"/>
    <n v="14"/>
    <n v="5"/>
    <n v="15"/>
  </r>
  <r>
    <n v="35"/>
    <x v="0"/>
    <s v="Travel_Frequently"/>
    <n v="130"/>
    <x v="1"/>
    <n v="25"/>
    <n v="4"/>
    <s v="Life Sciences"/>
    <n v="1"/>
    <n v="881"/>
    <x v="2"/>
    <s v="Female"/>
    <n v="96"/>
    <n v="3"/>
    <n v="1"/>
    <x v="1"/>
    <x v="1"/>
    <s v="Divorced"/>
    <n v="2022"/>
    <n v="16612"/>
    <n v="1"/>
    <s v="Y"/>
    <x v="0"/>
    <n v="19"/>
    <n v="3"/>
    <n v="1"/>
    <n v="80"/>
    <n v="1"/>
    <n v="10"/>
    <n v="3"/>
    <x v="2"/>
    <x v="1"/>
    <n v="2"/>
    <n v="7"/>
    <n v="8"/>
  </r>
  <r>
    <n v="32"/>
    <x v="1"/>
    <s v="Non-Travel"/>
    <n v="300"/>
    <x v="1"/>
    <n v="1"/>
    <n v="3"/>
    <s v="Life Sciences"/>
    <n v="1"/>
    <n v="882"/>
    <x v="2"/>
    <s v="Male"/>
    <n v="61"/>
    <n v="3"/>
    <n v="1"/>
    <x v="2"/>
    <x v="0"/>
    <s v="Divorced"/>
    <n v="2314"/>
    <n v="9148"/>
    <n v="0"/>
    <s v="Y"/>
    <x v="1"/>
    <n v="12"/>
    <n v="3"/>
    <n v="2"/>
    <n v="80"/>
    <n v="1"/>
    <n v="4"/>
    <n v="2"/>
    <x v="1"/>
    <x v="11"/>
    <n v="0"/>
    <n v="0"/>
    <n v="2"/>
  </r>
  <r>
    <n v="25"/>
    <x v="1"/>
    <s v="Travel_Rarely"/>
    <n v="583"/>
    <x v="0"/>
    <n v="4"/>
    <n v="1"/>
    <s v="Marketing"/>
    <n v="1"/>
    <n v="885"/>
    <x v="1"/>
    <s v="Male"/>
    <n v="87"/>
    <n v="2"/>
    <n v="2"/>
    <x v="0"/>
    <x v="3"/>
    <s v="Married"/>
    <n v="4256"/>
    <n v="18154"/>
    <n v="1"/>
    <s v="Y"/>
    <x v="1"/>
    <n v="12"/>
    <n v="3"/>
    <n v="1"/>
    <n v="80"/>
    <n v="0"/>
    <n v="5"/>
    <n v="1"/>
    <x v="3"/>
    <x v="8"/>
    <n v="2"/>
    <n v="0"/>
    <n v="3"/>
  </r>
  <r>
    <n v="49"/>
    <x v="1"/>
    <s v="Travel_Rarely"/>
    <n v="1418"/>
    <x v="1"/>
    <n v="1"/>
    <n v="3"/>
    <s v="Technical Degree"/>
    <n v="1"/>
    <n v="887"/>
    <x v="1"/>
    <s v="Female"/>
    <n v="36"/>
    <n v="3"/>
    <n v="1"/>
    <x v="1"/>
    <x v="3"/>
    <s v="Married"/>
    <n v="3580"/>
    <n v="10554"/>
    <n v="2"/>
    <s v="Y"/>
    <x v="1"/>
    <n v="16"/>
    <n v="3"/>
    <n v="2"/>
    <n v="80"/>
    <n v="1"/>
    <n v="7"/>
    <n v="2"/>
    <x v="1"/>
    <x v="9"/>
    <n v="2"/>
    <n v="0"/>
    <n v="2"/>
  </r>
  <r>
    <n v="24"/>
    <x v="1"/>
    <s v="Non-Travel"/>
    <n v="1269"/>
    <x v="1"/>
    <n v="4"/>
    <n v="1"/>
    <s v="Life Sciences"/>
    <n v="1"/>
    <n v="888"/>
    <x v="3"/>
    <s v="Male"/>
    <n v="46"/>
    <n v="2"/>
    <n v="1"/>
    <x v="2"/>
    <x v="0"/>
    <s v="Married"/>
    <n v="3162"/>
    <n v="10778"/>
    <n v="0"/>
    <s v="Y"/>
    <x v="1"/>
    <n v="17"/>
    <n v="3"/>
    <n v="4"/>
    <n v="80"/>
    <n v="0"/>
    <n v="6"/>
    <n v="2"/>
    <x v="2"/>
    <x v="8"/>
    <n v="2"/>
    <n v="3"/>
    <n v="4"/>
  </r>
  <r>
    <n v="32"/>
    <x v="1"/>
    <s v="Travel_Frequently"/>
    <n v="379"/>
    <x v="0"/>
    <n v="5"/>
    <n v="2"/>
    <s v="Life Sciences"/>
    <n v="1"/>
    <n v="889"/>
    <x v="0"/>
    <s v="Male"/>
    <n v="48"/>
    <n v="3"/>
    <n v="2"/>
    <x v="0"/>
    <x v="1"/>
    <s v="Married"/>
    <n v="6524"/>
    <n v="8891"/>
    <n v="1"/>
    <s v="Y"/>
    <x v="1"/>
    <n v="14"/>
    <n v="3"/>
    <n v="4"/>
    <n v="80"/>
    <n v="1"/>
    <n v="10"/>
    <n v="3"/>
    <x v="1"/>
    <x v="1"/>
    <n v="8"/>
    <n v="5"/>
    <n v="3"/>
  </r>
  <r>
    <n v="38"/>
    <x v="1"/>
    <s v="Travel_Rarely"/>
    <n v="395"/>
    <x v="0"/>
    <n v="9"/>
    <n v="3"/>
    <s v="Marketing"/>
    <n v="1"/>
    <n v="893"/>
    <x v="0"/>
    <s v="Male"/>
    <n v="98"/>
    <n v="2"/>
    <n v="1"/>
    <x v="6"/>
    <x v="1"/>
    <s v="Married"/>
    <n v="2899"/>
    <n v="12102"/>
    <n v="0"/>
    <s v="Y"/>
    <x v="1"/>
    <n v="19"/>
    <n v="3"/>
    <n v="4"/>
    <n v="80"/>
    <n v="1"/>
    <n v="3"/>
    <n v="3"/>
    <x v="1"/>
    <x v="4"/>
    <n v="2"/>
    <n v="1"/>
    <n v="2"/>
  </r>
  <r>
    <n v="42"/>
    <x v="1"/>
    <s v="Travel_Rarely"/>
    <n v="1265"/>
    <x v="1"/>
    <n v="3"/>
    <n v="3"/>
    <s v="Life Sciences"/>
    <n v="1"/>
    <n v="894"/>
    <x v="1"/>
    <s v="Female"/>
    <n v="95"/>
    <n v="4"/>
    <n v="2"/>
    <x v="2"/>
    <x v="0"/>
    <s v="Married"/>
    <n v="5231"/>
    <n v="23726"/>
    <n v="2"/>
    <s v="Y"/>
    <x v="0"/>
    <n v="13"/>
    <n v="3"/>
    <n v="2"/>
    <n v="80"/>
    <n v="1"/>
    <n v="17"/>
    <n v="1"/>
    <x v="2"/>
    <x v="8"/>
    <n v="3"/>
    <n v="1"/>
    <n v="3"/>
  </r>
  <r>
    <n v="31"/>
    <x v="1"/>
    <s v="Travel_Rarely"/>
    <n v="1222"/>
    <x v="1"/>
    <n v="11"/>
    <n v="4"/>
    <s v="Life Sciences"/>
    <n v="1"/>
    <n v="895"/>
    <x v="2"/>
    <s v="Male"/>
    <n v="48"/>
    <n v="3"/>
    <n v="1"/>
    <x v="1"/>
    <x v="0"/>
    <s v="Married"/>
    <n v="2356"/>
    <n v="14871"/>
    <n v="3"/>
    <s v="Y"/>
    <x v="0"/>
    <n v="19"/>
    <n v="3"/>
    <n v="2"/>
    <n v="80"/>
    <n v="1"/>
    <n v="8"/>
    <n v="2"/>
    <x v="1"/>
    <x v="0"/>
    <n v="4"/>
    <n v="0"/>
    <n v="2"/>
  </r>
  <r>
    <n v="29"/>
    <x v="0"/>
    <s v="Travel_Rarely"/>
    <n v="341"/>
    <x v="0"/>
    <n v="1"/>
    <n v="3"/>
    <s v="Medical"/>
    <n v="1"/>
    <n v="896"/>
    <x v="0"/>
    <s v="Female"/>
    <n v="48"/>
    <n v="2"/>
    <n v="1"/>
    <x v="6"/>
    <x v="2"/>
    <s v="Divorced"/>
    <n v="2800"/>
    <n v="23522"/>
    <n v="6"/>
    <s v="Y"/>
    <x v="0"/>
    <n v="19"/>
    <n v="3"/>
    <n v="3"/>
    <n v="80"/>
    <n v="3"/>
    <n v="5"/>
    <n v="3"/>
    <x v="1"/>
    <x v="11"/>
    <n v="2"/>
    <n v="0"/>
    <n v="2"/>
  </r>
  <r>
    <n v="53"/>
    <x v="1"/>
    <s v="Travel_Rarely"/>
    <n v="868"/>
    <x v="0"/>
    <n v="8"/>
    <n v="3"/>
    <s v="Marketing"/>
    <n v="1"/>
    <n v="897"/>
    <x v="3"/>
    <s v="Male"/>
    <n v="73"/>
    <n v="3"/>
    <n v="4"/>
    <x v="0"/>
    <x v="0"/>
    <s v="Married"/>
    <n v="11836"/>
    <n v="22789"/>
    <n v="5"/>
    <s v="Y"/>
    <x v="1"/>
    <n v="14"/>
    <n v="3"/>
    <n v="3"/>
    <n v="80"/>
    <n v="1"/>
    <n v="28"/>
    <n v="3"/>
    <x v="1"/>
    <x v="4"/>
    <n v="0"/>
    <n v="2"/>
    <n v="2"/>
  </r>
  <r>
    <n v="35"/>
    <x v="1"/>
    <s v="Travel_Rarely"/>
    <n v="672"/>
    <x v="1"/>
    <n v="25"/>
    <n v="3"/>
    <s v="Technical Degree"/>
    <n v="1"/>
    <n v="899"/>
    <x v="2"/>
    <s v="Male"/>
    <n v="78"/>
    <n v="2"/>
    <n v="3"/>
    <x v="3"/>
    <x v="1"/>
    <s v="Married"/>
    <n v="10903"/>
    <n v="9129"/>
    <n v="3"/>
    <s v="Y"/>
    <x v="1"/>
    <n v="16"/>
    <n v="3"/>
    <n v="1"/>
    <n v="80"/>
    <n v="0"/>
    <n v="16"/>
    <n v="2"/>
    <x v="1"/>
    <x v="20"/>
    <n v="10"/>
    <n v="4"/>
    <n v="8"/>
  </r>
  <r>
    <n v="37"/>
    <x v="1"/>
    <s v="Travel_Frequently"/>
    <n v="1231"/>
    <x v="0"/>
    <n v="21"/>
    <n v="2"/>
    <s v="Medical"/>
    <n v="1"/>
    <n v="900"/>
    <x v="1"/>
    <s v="Female"/>
    <n v="54"/>
    <n v="3"/>
    <n v="1"/>
    <x v="6"/>
    <x v="0"/>
    <s v="Married"/>
    <n v="2973"/>
    <n v="21222"/>
    <n v="5"/>
    <s v="Y"/>
    <x v="1"/>
    <n v="15"/>
    <n v="3"/>
    <n v="2"/>
    <n v="80"/>
    <n v="1"/>
    <n v="10"/>
    <n v="3"/>
    <x v="1"/>
    <x v="8"/>
    <n v="4"/>
    <n v="0"/>
    <n v="0"/>
  </r>
  <r>
    <n v="53"/>
    <x v="1"/>
    <s v="Travel_Rarely"/>
    <n v="102"/>
    <x v="1"/>
    <n v="23"/>
    <n v="4"/>
    <s v="Life Sciences"/>
    <n v="1"/>
    <n v="901"/>
    <x v="2"/>
    <s v="Female"/>
    <n v="72"/>
    <n v="3"/>
    <n v="4"/>
    <x v="7"/>
    <x v="0"/>
    <s v="Single"/>
    <n v="14275"/>
    <n v="20206"/>
    <n v="6"/>
    <s v="Y"/>
    <x v="1"/>
    <n v="18"/>
    <n v="3"/>
    <n v="3"/>
    <n v="80"/>
    <n v="0"/>
    <n v="33"/>
    <n v="0"/>
    <x v="1"/>
    <x v="12"/>
    <n v="9"/>
    <n v="3"/>
    <n v="8"/>
  </r>
  <r>
    <n v="43"/>
    <x v="1"/>
    <s v="Travel_Frequently"/>
    <n v="422"/>
    <x v="1"/>
    <n v="1"/>
    <n v="3"/>
    <s v="Life Sciences"/>
    <n v="1"/>
    <n v="902"/>
    <x v="2"/>
    <s v="Female"/>
    <n v="33"/>
    <n v="3"/>
    <n v="2"/>
    <x v="4"/>
    <x v="0"/>
    <s v="Married"/>
    <n v="5562"/>
    <n v="21782"/>
    <n v="4"/>
    <s v="Y"/>
    <x v="1"/>
    <n v="13"/>
    <n v="3"/>
    <n v="2"/>
    <n v="80"/>
    <n v="1"/>
    <n v="12"/>
    <n v="2"/>
    <x v="2"/>
    <x v="8"/>
    <n v="2"/>
    <n v="2"/>
    <n v="2"/>
  </r>
  <r>
    <n v="47"/>
    <x v="1"/>
    <s v="Travel_Rarely"/>
    <n v="249"/>
    <x v="0"/>
    <n v="2"/>
    <n v="2"/>
    <s v="Marketing"/>
    <n v="1"/>
    <n v="903"/>
    <x v="1"/>
    <s v="Female"/>
    <n v="35"/>
    <n v="3"/>
    <n v="2"/>
    <x v="0"/>
    <x v="0"/>
    <s v="Married"/>
    <n v="4537"/>
    <n v="17783"/>
    <n v="0"/>
    <s v="Y"/>
    <x v="0"/>
    <n v="22"/>
    <n v="4"/>
    <n v="1"/>
    <n v="80"/>
    <n v="1"/>
    <n v="8"/>
    <n v="2"/>
    <x v="1"/>
    <x v="5"/>
    <n v="6"/>
    <n v="7"/>
    <n v="7"/>
  </r>
  <r>
    <n v="37"/>
    <x v="1"/>
    <s v="Non-Travel"/>
    <n v="1252"/>
    <x v="0"/>
    <n v="19"/>
    <n v="2"/>
    <s v="Medical"/>
    <n v="1"/>
    <n v="904"/>
    <x v="3"/>
    <s v="Male"/>
    <n v="32"/>
    <n v="3"/>
    <n v="3"/>
    <x v="0"/>
    <x v="1"/>
    <s v="Single"/>
    <n v="7642"/>
    <n v="4814"/>
    <n v="1"/>
    <s v="Y"/>
    <x v="0"/>
    <n v="13"/>
    <n v="3"/>
    <n v="4"/>
    <n v="80"/>
    <n v="0"/>
    <n v="10"/>
    <n v="2"/>
    <x v="1"/>
    <x v="1"/>
    <n v="0"/>
    <n v="0"/>
    <n v="9"/>
  </r>
  <r>
    <n v="50"/>
    <x v="1"/>
    <s v="Non-Travel"/>
    <n v="881"/>
    <x v="1"/>
    <n v="2"/>
    <n v="4"/>
    <s v="Life Sciences"/>
    <n v="1"/>
    <n v="905"/>
    <x v="3"/>
    <s v="Male"/>
    <n v="98"/>
    <n v="3"/>
    <n v="4"/>
    <x v="5"/>
    <x v="3"/>
    <s v="Divorced"/>
    <n v="17924"/>
    <n v="4544"/>
    <n v="1"/>
    <s v="Y"/>
    <x v="1"/>
    <n v="11"/>
    <n v="3"/>
    <n v="4"/>
    <n v="80"/>
    <n v="1"/>
    <n v="31"/>
    <n v="3"/>
    <x v="1"/>
    <x v="31"/>
    <n v="6"/>
    <n v="14"/>
    <n v="7"/>
  </r>
  <r>
    <n v="39"/>
    <x v="1"/>
    <s v="Travel_Rarely"/>
    <n v="1383"/>
    <x v="2"/>
    <n v="2"/>
    <n v="3"/>
    <s v="Life Sciences"/>
    <n v="1"/>
    <n v="909"/>
    <x v="2"/>
    <s v="Female"/>
    <n v="42"/>
    <n v="2"/>
    <n v="2"/>
    <x v="8"/>
    <x v="0"/>
    <s v="Married"/>
    <n v="5204"/>
    <n v="7790"/>
    <n v="8"/>
    <s v="Y"/>
    <x v="1"/>
    <n v="11"/>
    <n v="3"/>
    <n v="3"/>
    <n v="80"/>
    <n v="2"/>
    <n v="13"/>
    <n v="2"/>
    <x v="1"/>
    <x v="8"/>
    <n v="4"/>
    <n v="0"/>
    <n v="4"/>
  </r>
  <r>
    <n v="33"/>
    <x v="1"/>
    <s v="Travel_Rarely"/>
    <n v="1075"/>
    <x v="2"/>
    <n v="3"/>
    <n v="2"/>
    <s v="Human Resources"/>
    <n v="1"/>
    <n v="910"/>
    <x v="2"/>
    <s v="Male"/>
    <n v="57"/>
    <n v="3"/>
    <n v="1"/>
    <x v="8"/>
    <x v="1"/>
    <s v="Divorced"/>
    <n v="2277"/>
    <n v="22650"/>
    <n v="3"/>
    <s v="Y"/>
    <x v="0"/>
    <n v="11"/>
    <n v="3"/>
    <n v="3"/>
    <n v="80"/>
    <n v="1"/>
    <n v="7"/>
    <n v="4"/>
    <x v="3"/>
    <x v="9"/>
    <n v="3"/>
    <n v="0"/>
    <n v="3"/>
  </r>
  <r>
    <n v="32"/>
    <x v="0"/>
    <s v="Travel_Rarely"/>
    <n v="374"/>
    <x v="1"/>
    <n v="25"/>
    <n v="4"/>
    <s v="Life Sciences"/>
    <n v="1"/>
    <n v="911"/>
    <x v="3"/>
    <s v="Male"/>
    <n v="87"/>
    <n v="3"/>
    <n v="1"/>
    <x v="2"/>
    <x v="0"/>
    <s v="Single"/>
    <n v="2795"/>
    <n v="18016"/>
    <n v="1"/>
    <s v="Y"/>
    <x v="0"/>
    <n v="24"/>
    <n v="4"/>
    <n v="3"/>
    <n v="80"/>
    <n v="0"/>
    <n v="1"/>
    <n v="2"/>
    <x v="0"/>
    <x v="6"/>
    <n v="0"/>
    <n v="0"/>
    <n v="1"/>
  </r>
  <r>
    <n v="29"/>
    <x v="1"/>
    <s v="Travel_Rarely"/>
    <n v="1086"/>
    <x v="1"/>
    <n v="7"/>
    <n v="1"/>
    <s v="Medical"/>
    <n v="1"/>
    <n v="912"/>
    <x v="3"/>
    <s v="Female"/>
    <n v="62"/>
    <n v="2"/>
    <n v="1"/>
    <x v="2"/>
    <x v="0"/>
    <s v="Divorced"/>
    <n v="2532"/>
    <n v="6054"/>
    <n v="6"/>
    <s v="Y"/>
    <x v="1"/>
    <n v="14"/>
    <n v="3"/>
    <n v="3"/>
    <n v="80"/>
    <n v="3"/>
    <n v="8"/>
    <n v="5"/>
    <x v="1"/>
    <x v="9"/>
    <n v="3"/>
    <n v="0"/>
    <n v="3"/>
  </r>
  <r>
    <n v="44"/>
    <x v="1"/>
    <s v="Travel_Rarely"/>
    <n v="661"/>
    <x v="1"/>
    <n v="9"/>
    <n v="2"/>
    <s v="Life Sciences"/>
    <n v="1"/>
    <n v="913"/>
    <x v="0"/>
    <s v="Male"/>
    <n v="61"/>
    <n v="3"/>
    <n v="1"/>
    <x v="1"/>
    <x v="3"/>
    <s v="Married"/>
    <n v="2559"/>
    <n v="7508"/>
    <n v="1"/>
    <s v="Y"/>
    <x v="0"/>
    <n v="13"/>
    <n v="3"/>
    <n v="4"/>
    <n v="80"/>
    <n v="0"/>
    <n v="8"/>
    <n v="0"/>
    <x v="1"/>
    <x v="3"/>
    <n v="7"/>
    <n v="7"/>
    <n v="1"/>
  </r>
  <r>
    <n v="28"/>
    <x v="1"/>
    <s v="Travel_Rarely"/>
    <n v="821"/>
    <x v="0"/>
    <n v="5"/>
    <n v="4"/>
    <s v="Medical"/>
    <n v="1"/>
    <n v="916"/>
    <x v="3"/>
    <s v="Male"/>
    <n v="98"/>
    <n v="3"/>
    <n v="2"/>
    <x v="0"/>
    <x v="0"/>
    <s v="Single"/>
    <n v="4908"/>
    <n v="24252"/>
    <n v="1"/>
    <s v="Y"/>
    <x v="1"/>
    <n v="14"/>
    <n v="3"/>
    <n v="2"/>
    <n v="80"/>
    <n v="0"/>
    <n v="4"/>
    <n v="3"/>
    <x v="1"/>
    <x v="9"/>
    <n v="2"/>
    <n v="0"/>
    <n v="2"/>
  </r>
  <r>
    <n v="58"/>
    <x v="0"/>
    <s v="Travel_Frequently"/>
    <n v="781"/>
    <x v="1"/>
    <n v="2"/>
    <n v="1"/>
    <s v="Life Sciences"/>
    <n v="1"/>
    <n v="918"/>
    <x v="2"/>
    <s v="Male"/>
    <n v="57"/>
    <n v="2"/>
    <n v="1"/>
    <x v="2"/>
    <x v="0"/>
    <s v="Divorced"/>
    <n v="2380"/>
    <n v="13384"/>
    <n v="9"/>
    <s v="Y"/>
    <x v="0"/>
    <n v="14"/>
    <n v="3"/>
    <n v="4"/>
    <n v="80"/>
    <n v="1"/>
    <n v="3"/>
    <n v="3"/>
    <x v="2"/>
    <x v="6"/>
    <n v="0"/>
    <n v="0"/>
    <n v="0"/>
  </r>
  <r>
    <n v="43"/>
    <x v="1"/>
    <s v="Travel_Rarely"/>
    <n v="177"/>
    <x v="1"/>
    <n v="8"/>
    <n v="3"/>
    <s v="Life Sciences"/>
    <n v="1"/>
    <n v="920"/>
    <x v="3"/>
    <s v="Female"/>
    <n v="55"/>
    <n v="3"/>
    <n v="2"/>
    <x v="3"/>
    <x v="1"/>
    <s v="Divorced"/>
    <n v="4765"/>
    <n v="23814"/>
    <n v="4"/>
    <s v="Y"/>
    <x v="1"/>
    <n v="21"/>
    <n v="4"/>
    <n v="3"/>
    <n v="80"/>
    <n v="1"/>
    <n v="4"/>
    <n v="2"/>
    <x v="3"/>
    <x v="6"/>
    <n v="0"/>
    <n v="0"/>
    <n v="0"/>
  </r>
  <r>
    <n v="20"/>
    <x v="0"/>
    <s v="Travel_Rarely"/>
    <n v="500"/>
    <x v="0"/>
    <n v="2"/>
    <n v="3"/>
    <s v="Medical"/>
    <n v="1"/>
    <n v="922"/>
    <x v="1"/>
    <s v="Female"/>
    <n v="49"/>
    <n v="2"/>
    <n v="1"/>
    <x v="6"/>
    <x v="2"/>
    <s v="Single"/>
    <n v="2044"/>
    <n v="22052"/>
    <n v="1"/>
    <s v="Y"/>
    <x v="1"/>
    <n v="13"/>
    <n v="3"/>
    <n v="4"/>
    <n v="80"/>
    <n v="0"/>
    <n v="2"/>
    <n v="3"/>
    <x v="2"/>
    <x v="4"/>
    <n v="2"/>
    <n v="0"/>
    <n v="2"/>
  </r>
  <r>
    <n v="21"/>
    <x v="0"/>
    <s v="Travel_Rarely"/>
    <n v="1427"/>
    <x v="1"/>
    <n v="18"/>
    <n v="1"/>
    <s v="Other"/>
    <n v="1"/>
    <n v="923"/>
    <x v="2"/>
    <s v="Female"/>
    <n v="65"/>
    <n v="3"/>
    <n v="1"/>
    <x v="1"/>
    <x v="0"/>
    <s v="Single"/>
    <n v="2693"/>
    <n v="8870"/>
    <n v="1"/>
    <s v="Y"/>
    <x v="1"/>
    <n v="19"/>
    <n v="3"/>
    <n v="1"/>
    <n v="80"/>
    <n v="0"/>
    <n v="1"/>
    <n v="3"/>
    <x v="2"/>
    <x v="6"/>
    <n v="0"/>
    <n v="0"/>
    <n v="0"/>
  </r>
  <r>
    <n v="36"/>
    <x v="1"/>
    <s v="Travel_Rarely"/>
    <n v="1425"/>
    <x v="1"/>
    <n v="14"/>
    <n v="1"/>
    <s v="Life Sciences"/>
    <n v="1"/>
    <n v="924"/>
    <x v="1"/>
    <s v="Male"/>
    <n v="68"/>
    <n v="3"/>
    <n v="2"/>
    <x v="4"/>
    <x v="0"/>
    <s v="Married"/>
    <n v="6586"/>
    <n v="4821"/>
    <n v="0"/>
    <s v="Y"/>
    <x v="0"/>
    <n v="17"/>
    <n v="3"/>
    <n v="1"/>
    <n v="80"/>
    <n v="1"/>
    <n v="17"/>
    <n v="2"/>
    <x v="2"/>
    <x v="22"/>
    <n v="8"/>
    <n v="4"/>
    <n v="11"/>
  </r>
  <r>
    <n v="47"/>
    <x v="1"/>
    <s v="Travel_Rarely"/>
    <n v="1454"/>
    <x v="0"/>
    <n v="2"/>
    <n v="4"/>
    <s v="Life Sciences"/>
    <n v="1"/>
    <n v="925"/>
    <x v="2"/>
    <s v="Female"/>
    <n v="65"/>
    <n v="2"/>
    <n v="1"/>
    <x v="6"/>
    <x v="0"/>
    <s v="Single"/>
    <n v="3294"/>
    <n v="13137"/>
    <n v="1"/>
    <s v="Y"/>
    <x v="0"/>
    <n v="18"/>
    <n v="3"/>
    <n v="1"/>
    <n v="80"/>
    <n v="0"/>
    <n v="3"/>
    <n v="3"/>
    <x v="2"/>
    <x v="11"/>
    <n v="2"/>
    <n v="1"/>
    <n v="2"/>
  </r>
  <r>
    <n v="22"/>
    <x v="0"/>
    <s v="Travel_Rarely"/>
    <n v="617"/>
    <x v="1"/>
    <n v="3"/>
    <n v="1"/>
    <s v="Life Sciences"/>
    <n v="1"/>
    <n v="926"/>
    <x v="0"/>
    <s v="Female"/>
    <n v="34"/>
    <n v="3"/>
    <n v="2"/>
    <x v="3"/>
    <x v="2"/>
    <s v="Married"/>
    <n v="4171"/>
    <n v="10022"/>
    <n v="0"/>
    <s v="Y"/>
    <x v="0"/>
    <n v="19"/>
    <n v="3"/>
    <n v="1"/>
    <n v="80"/>
    <n v="1"/>
    <n v="4"/>
    <n v="3"/>
    <x v="3"/>
    <x v="11"/>
    <n v="2"/>
    <n v="0"/>
    <n v="2"/>
  </r>
  <r>
    <n v="41"/>
    <x v="0"/>
    <s v="Travel_Rarely"/>
    <n v="1085"/>
    <x v="1"/>
    <n v="2"/>
    <n v="4"/>
    <s v="Life Sciences"/>
    <n v="1"/>
    <n v="927"/>
    <x v="0"/>
    <s v="Female"/>
    <n v="57"/>
    <n v="1"/>
    <n v="1"/>
    <x v="2"/>
    <x v="0"/>
    <s v="Divorced"/>
    <n v="2778"/>
    <n v="17725"/>
    <n v="4"/>
    <s v="Y"/>
    <x v="0"/>
    <n v="13"/>
    <n v="3"/>
    <n v="3"/>
    <n v="80"/>
    <n v="1"/>
    <n v="10"/>
    <n v="1"/>
    <x v="2"/>
    <x v="5"/>
    <n v="7"/>
    <n v="1"/>
    <n v="0"/>
  </r>
  <r>
    <n v="28"/>
    <x v="1"/>
    <s v="Travel_Rarely"/>
    <n v="995"/>
    <x v="1"/>
    <n v="9"/>
    <n v="3"/>
    <s v="Medical"/>
    <n v="1"/>
    <n v="930"/>
    <x v="1"/>
    <s v="Female"/>
    <n v="77"/>
    <n v="3"/>
    <n v="1"/>
    <x v="1"/>
    <x v="2"/>
    <s v="Divorced"/>
    <n v="2377"/>
    <n v="9834"/>
    <n v="5"/>
    <s v="Y"/>
    <x v="1"/>
    <n v="18"/>
    <n v="3"/>
    <n v="2"/>
    <n v="80"/>
    <n v="1"/>
    <n v="6"/>
    <n v="2"/>
    <x v="1"/>
    <x v="4"/>
    <n v="2"/>
    <n v="2"/>
    <n v="2"/>
  </r>
  <r>
    <n v="39"/>
    <x v="0"/>
    <s v="Travel_Rarely"/>
    <n v="1122"/>
    <x v="1"/>
    <n v="6"/>
    <n v="3"/>
    <s v="Medical"/>
    <n v="1"/>
    <n v="932"/>
    <x v="2"/>
    <s v="Male"/>
    <n v="70"/>
    <n v="3"/>
    <n v="1"/>
    <x v="2"/>
    <x v="3"/>
    <s v="Married"/>
    <n v="2404"/>
    <n v="4303"/>
    <n v="7"/>
    <s v="Y"/>
    <x v="0"/>
    <n v="21"/>
    <n v="4"/>
    <n v="4"/>
    <n v="80"/>
    <n v="0"/>
    <n v="8"/>
    <n v="2"/>
    <x v="0"/>
    <x v="4"/>
    <n v="2"/>
    <n v="2"/>
    <n v="2"/>
  </r>
  <r>
    <n v="27"/>
    <x v="1"/>
    <s v="Travel_Rarely"/>
    <n v="618"/>
    <x v="1"/>
    <n v="4"/>
    <n v="3"/>
    <s v="Life Sciences"/>
    <n v="1"/>
    <n v="933"/>
    <x v="0"/>
    <s v="Female"/>
    <n v="76"/>
    <n v="3"/>
    <n v="1"/>
    <x v="1"/>
    <x v="2"/>
    <s v="Single"/>
    <n v="2318"/>
    <n v="17808"/>
    <n v="1"/>
    <s v="Y"/>
    <x v="1"/>
    <n v="19"/>
    <n v="3"/>
    <n v="3"/>
    <n v="80"/>
    <n v="0"/>
    <n v="1"/>
    <n v="2"/>
    <x v="1"/>
    <x v="6"/>
    <n v="1"/>
    <n v="0"/>
    <n v="0"/>
  </r>
  <r>
    <n v="34"/>
    <x v="1"/>
    <s v="Travel_Rarely"/>
    <n v="546"/>
    <x v="1"/>
    <n v="10"/>
    <n v="3"/>
    <s v="Life Sciences"/>
    <n v="1"/>
    <n v="934"/>
    <x v="0"/>
    <s v="Male"/>
    <n v="83"/>
    <n v="3"/>
    <n v="1"/>
    <x v="2"/>
    <x v="1"/>
    <s v="Divorced"/>
    <n v="2008"/>
    <n v="6896"/>
    <n v="1"/>
    <s v="Y"/>
    <x v="1"/>
    <n v="14"/>
    <n v="3"/>
    <n v="2"/>
    <n v="80"/>
    <n v="2"/>
    <n v="1"/>
    <n v="3"/>
    <x v="1"/>
    <x v="6"/>
    <n v="0"/>
    <n v="1"/>
    <n v="0"/>
  </r>
  <r>
    <n v="42"/>
    <x v="1"/>
    <s v="Travel_Rarely"/>
    <n v="462"/>
    <x v="0"/>
    <n v="14"/>
    <n v="2"/>
    <s v="Medical"/>
    <n v="1"/>
    <n v="936"/>
    <x v="1"/>
    <s v="Female"/>
    <n v="68"/>
    <n v="2"/>
    <n v="2"/>
    <x v="0"/>
    <x v="2"/>
    <s v="Single"/>
    <n v="6244"/>
    <n v="7824"/>
    <n v="7"/>
    <s v="Y"/>
    <x v="1"/>
    <n v="17"/>
    <n v="3"/>
    <n v="1"/>
    <n v="80"/>
    <n v="0"/>
    <n v="10"/>
    <n v="6"/>
    <x v="1"/>
    <x v="8"/>
    <n v="4"/>
    <n v="0"/>
    <n v="3"/>
  </r>
  <r>
    <n v="33"/>
    <x v="1"/>
    <s v="Travel_Rarely"/>
    <n v="1198"/>
    <x v="1"/>
    <n v="1"/>
    <n v="4"/>
    <s v="Other"/>
    <n v="1"/>
    <n v="939"/>
    <x v="1"/>
    <s v="Male"/>
    <n v="100"/>
    <n v="2"/>
    <n v="1"/>
    <x v="1"/>
    <x v="3"/>
    <s v="Single"/>
    <n v="2799"/>
    <n v="3339"/>
    <n v="3"/>
    <s v="Y"/>
    <x v="0"/>
    <n v="11"/>
    <n v="3"/>
    <n v="2"/>
    <n v="80"/>
    <n v="0"/>
    <n v="6"/>
    <n v="1"/>
    <x v="1"/>
    <x v="11"/>
    <n v="2"/>
    <n v="0"/>
    <n v="2"/>
  </r>
  <r>
    <n v="58"/>
    <x v="1"/>
    <s v="Travel_Rarely"/>
    <n v="1272"/>
    <x v="1"/>
    <n v="5"/>
    <n v="3"/>
    <s v="Technical Degree"/>
    <n v="1"/>
    <n v="940"/>
    <x v="1"/>
    <s v="Female"/>
    <n v="37"/>
    <n v="2"/>
    <n v="3"/>
    <x v="4"/>
    <x v="1"/>
    <s v="Divorced"/>
    <n v="10552"/>
    <n v="9255"/>
    <n v="2"/>
    <s v="Y"/>
    <x v="0"/>
    <n v="13"/>
    <n v="3"/>
    <n v="4"/>
    <n v="80"/>
    <n v="1"/>
    <n v="24"/>
    <n v="3"/>
    <x v="1"/>
    <x v="0"/>
    <n v="0"/>
    <n v="0"/>
    <n v="4"/>
  </r>
  <r>
    <n v="31"/>
    <x v="1"/>
    <s v="Travel_Rarely"/>
    <n v="154"/>
    <x v="0"/>
    <n v="7"/>
    <n v="4"/>
    <s v="Life Sciences"/>
    <n v="1"/>
    <n v="941"/>
    <x v="0"/>
    <s v="Male"/>
    <n v="41"/>
    <n v="2"/>
    <n v="1"/>
    <x v="6"/>
    <x v="2"/>
    <s v="Married"/>
    <n v="2329"/>
    <n v="11737"/>
    <n v="3"/>
    <s v="Y"/>
    <x v="1"/>
    <n v="15"/>
    <n v="3"/>
    <n v="2"/>
    <n v="80"/>
    <n v="0"/>
    <n v="13"/>
    <n v="2"/>
    <x v="3"/>
    <x v="5"/>
    <n v="7"/>
    <n v="5"/>
    <n v="2"/>
  </r>
  <r>
    <n v="35"/>
    <x v="1"/>
    <s v="Travel_Rarely"/>
    <n v="1137"/>
    <x v="1"/>
    <n v="21"/>
    <n v="1"/>
    <s v="Life Sciences"/>
    <n v="1"/>
    <n v="942"/>
    <x v="2"/>
    <s v="Female"/>
    <n v="51"/>
    <n v="3"/>
    <n v="2"/>
    <x v="4"/>
    <x v="0"/>
    <s v="Married"/>
    <n v="4014"/>
    <n v="19170"/>
    <n v="1"/>
    <s v="Y"/>
    <x v="0"/>
    <n v="25"/>
    <n v="4"/>
    <n v="4"/>
    <n v="80"/>
    <n v="1"/>
    <n v="10"/>
    <n v="2"/>
    <x v="0"/>
    <x v="1"/>
    <n v="6"/>
    <n v="0"/>
    <n v="7"/>
  </r>
  <r>
    <n v="49"/>
    <x v="1"/>
    <s v="Travel_Rarely"/>
    <n v="527"/>
    <x v="1"/>
    <n v="8"/>
    <n v="2"/>
    <s v="Other"/>
    <n v="1"/>
    <n v="944"/>
    <x v="3"/>
    <s v="Female"/>
    <n v="51"/>
    <n v="3"/>
    <n v="3"/>
    <x v="2"/>
    <x v="1"/>
    <s v="Married"/>
    <n v="7403"/>
    <n v="22477"/>
    <n v="4"/>
    <s v="Y"/>
    <x v="1"/>
    <n v="11"/>
    <n v="3"/>
    <n v="3"/>
    <n v="80"/>
    <n v="1"/>
    <n v="29"/>
    <n v="3"/>
    <x v="2"/>
    <x v="34"/>
    <n v="9"/>
    <n v="1"/>
    <n v="7"/>
  </r>
  <r>
    <n v="48"/>
    <x v="1"/>
    <s v="Travel_Rarely"/>
    <n v="1469"/>
    <x v="1"/>
    <n v="20"/>
    <n v="4"/>
    <s v="Medical"/>
    <n v="1"/>
    <n v="945"/>
    <x v="2"/>
    <s v="Male"/>
    <n v="51"/>
    <n v="3"/>
    <n v="1"/>
    <x v="1"/>
    <x v="2"/>
    <s v="Married"/>
    <n v="2259"/>
    <n v="5543"/>
    <n v="4"/>
    <s v="Y"/>
    <x v="1"/>
    <n v="17"/>
    <n v="3"/>
    <n v="1"/>
    <n v="80"/>
    <n v="2"/>
    <n v="13"/>
    <n v="2"/>
    <x v="2"/>
    <x v="2"/>
    <n v="0"/>
    <n v="0"/>
    <n v="0"/>
  </r>
  <r>
    <n v="31"/>
    <x v="1"/>
    <s v="Non-Travel"/>
    <n v="1188"/>
    <x v="0"/>
    <n v="20"/>
    <n v="2"/>
    <s v="Marketing"/>
    <n v="1"/>
    <n v="947"/>
    <x v="2"/>
    <s v="Female"/>
    <n v="45"/>
    <n v="3"/>
    <n v="2"/>
    <x v="0"/>
    <x v="2"/>
    <s v="Married"/>
    <n v="6932"/>
    <n v="24406"/>
    <n v="1"/>
    <s v="Y"/>
    <x v="1"/>
    <n v="13"/>
    <n v="3"/>
    <n v="4"/>
    <n v="80"/>
    <n v="1"/>
    <n v="9"/>
    <n v="2"/>
    <x v="2"/>
    <x v="7"/>
    <n v="8"/>
    <n v="0"/>
    <n v="0"/>
  </r>
  <r>
    <n v="36"/>
    <x v="1"/>
    <s v="Travel_Rarely"/>
    <n v="188"/>
    <x v="1"/>
    <n v="7"/>
    <n v="4"/>
    <s v="Other"/>
    <n v="1"/>
    <n v="949"/>
    <x v="0"/>
    <s v="Male"/>
    <n v="65"/>
    <n v="3"/>
    <n v="1"/>
    <x v="1"/>
    <x v="0"/>
    <s v="Single"/>
    <n v="4678"/>
    <n v="23293"/>
    <n v="2"/>
    <s v="Y"/>
    <x v="1"/>
    <n v="18"/>
    <n v="3"/>
    <n v="3"/>
    <n v="80"/>
    <n v="0"/>
    <n v="8"/>
    <n v="6"/>
    <x v="1"/>
    <x v="0"/>
    <n v="2"/>
    <n v="0"/>
    <n v="1"/>
  </r>
  <r>
    <n v="38"/>
    <x v="1"/>
    <s v="Travel_Rarely"/>
    <n v="1333"/>
    <x v="1"/>
    <n v="1"/>
    <n v="3"/>
    <s v="Technical Degree"/>
    <n v="1"/>
    <n v="950"/>
    <x v="2"/>
    <s v="Female"/>
    <n v="80"/>
    <n v="3"/>
    <n v="3"/>
    <x v="7"/>
    <x v="3"/>
    <s v="Married"/>
    <n v="13582"/>
    <n v="16292"/>
    <n v="1"/>
    <s v="Y"/>
    <x v="1"/>
    <n v="13"/>
    <n v="3"/>
    <n v="2"/>
    <n v="80"/>
    <n v="1"/>
    <n v="15"/>
    <n v="3"/>
    <x v="1"/>
    <x v="15"/>
    <n v="12"/>
    <n v="5"/>
    <n v="11"/>
  </r>
  <r>
    <n v="32"/>
    <x v="1"/>
    <s v="Non-Travel"/>
    <n v="1184"/>
    <x v="1"/>
    <n v="1"/>
    <n v="3"/>
    <s v="Life Sciences"/>
    <n v="1"/>
    <n v="951"/>
    <x v="1"/>
    <s v="Female"/>
    <n v="70"/>
    <n v="2"/>
    <n v="1"/>
    <x v="2"/>
    <x v="1"/>
    <s v="Married"/>
    <n v="2332"/>
    <n v="3974"/>
    <n v="6"/>
    <s v="Y"/>
    <x v="1"/>
    <n v="20"/>
    <n v="4"/>
    <n v="3"/>
    <n v="80"/>
    <n v="0"/>
    <n v="5"/>
    <n v="3"/>
    <x v="1"/>
    <x v="11"/>
    <n v="0"/>
    <n v="0"/>
    <n v="2"/>
  </r>
  <r>
    <n v="25"/>
    <x v="0"/>
    <s v="Travel_Rarely"/>
    <n v="867"/>
    <x v="0"/>
    <n v="19"/>
    <n v="2"/>
    <s v="Marketing"/>
    <n v="1"/>
    <n v="952"/>
    <x v="1"/>
    <s v="Male"/>
    <n v="36"/>
    <n v="2"/>
    <n v="1"/>
    <x v="6"/>
    <x v="1"/>
    <s v="Married"/>
    <n v="2413"/>
    <n v="18798"/>
    <n v="1"/>
    <s v="Y"/>
    <x v="0"/>
    <n v="18"/>
    <n v="3"/>
    <n v="3"/>
    <n v="80"/>
    <n v="3"/>
    <n v="1"/>
    <n v="2"/>
    <x v="1"/>
    <x v="6"/>
    <n v="0"/>
    <n v="0"/>
    <n v="0"/>
  </r>
  <r>
    <n v="40"/>
    <x v="1"/>
    <s v="Travel_Rarely"/>
    <n v="658"/>
    <x v="0"/>
    <n v="10"/>
    <n v="4"/>
    <s v="Marketing"/>
    <n v="1"/>
    <n v="954"/>
    <x v="3"/>
    <s v="Male"/>
    <n v="67"/>
    <n v="2"/>
    <n v="3"/>
    <x v="0"/>
    <x v="1"/>
    <s v="Divorced"/>
    <n v="9705"/>
    <n v="20652"/>
    <n v="2"/>
    <s v="Y"/>
    <x v="1"/>
    <n v="12"/>
    <n v="3"/>
    <n v="2"/>
    <n v="80"/>
    <n v="1"/>
    <n v="11"/>
    <n v="2"/>
    <x v="2"/>
    <x v="6"/>
    <n v="0"/>
    <n v="0"/>
    <n v="0"/>
  </r>
  <r>
    <n v="26"/>
    <x v="1"/>
    <s v="Travel_Frequently"/>
    <n v="1283"/>
    <x v="0"/>
    <n v="1"/>
    <n v="3"/>
    <s v="Medical"/>
    <n v="1"/>
    <n v="956"/>
    <x v="1"/>
    <s v="Male"/>
    <n v="52"/>
    <n v="2"/>
    <n v="2"/>
    <x v="0"/>
    <x v="3"/>
    <s v="Single"/>
    <n v="4294"/>
    <n v="11148"/>
    <n v="1"/>
    <s v="Y"/>
    <x v="1"/>
    <n v="12"/>
    <n v="3"/>
    <n v="2"/>
    <n v="80"/>
    <n v="0"/>
    <n v="7"/>
    <n v="2"/>
    <x v="1"/>
    <x v="5"/>
    <n v="7"/>
    <n v="0"/>
    <n v="7"/>
  </r>
  <r>
    <n v="41"/>
    <x v="1"/>
    <s v="Travel_Rarely"/>
    <n v="263"/>
    <x v="1"/>
    <n v="6"/>
    <n v="3"/>
    <s v="Medical"/>
    <n v="1"/>
    <n v="957"/>
    <x v="2"/>
    <s v="Male"/>
    <n v="59"/>
    <n v="3"/>
    <n v="1"/>
    <x v="2"/>
    <x v="3"/>
    <s v="Single"/>
    <n v="4721"/>
    <n v="3119"/>
    <n v="2"/>
    <s v="Y"/>
    <x v="0"/>
    <n v="13"/>
    <n v="3"/>
    <n v="3"/>
    <n v="80"/>
    <n v="0"/>
    <n v="20"/>
    <n v="3"/>
    <x v="1"/>
    <x v="29"/>
    <n v="13"/>
    <n v="2"/>
    <n v="17"/>
  </r>
  <r>
    <n v="36"/>
    <x v="1"/>
    <s v="Travel_Rarely"/>
    <n v="938"/>
    <x v="1"/>
    <n v="2"/>
    <n v="4"/>
    <s v="Medical"/>
    <n v="1"/>
    <n v="958"/>
    <x v="1"/>
    <s v="Male"/>
    <n v="79"/>
    <n v="3"/>
    <n v="1"/>
    <x v="2"/>
    <x v="2"/>
    <s v="Single"/>
    <n v="2519"/>
    <n v="12287"/>
    <n v="4"/>
    <s v="Y"/>
    <x v="1"/>
    <n v="21"/>
    <n v="4"/>
    <n v="3"/>
    <n v="80"/>
    <n v="0"/>
    <n v="16"/>
    <n v="6"/>
    <x v="1"/>
    <x v="19"/>
    <n v="8"/>
    <n v="3"/>
    <n v="9"/>
  </r>
  <r>
    <n v="19"/>
    <x v="0"/>
    <s v="Travel_Rarely"/>
    <n v="419"/>
    <x v="0"/>
    <n v="21"/>
    <n v="3"/>
    <s v="Other"/>
    <n v="1"/>
    <n v="959"/>
    <x v="2"/>
    <s v="Male"/>
    <n v="37"/>
    <n v="2"/>
    <n v="1"/>
    <x v="6"/>
    <x v="1"/>
    <s v="Single"/>
    <n v="2121"/>
    <n v="9947"/>
    <n v="1"/>
    <s v="Y"/>
    <x v="0"/>
    <n v="13"/>
    <n v="3"/>
    <n v="2"/>
    <n v="80"/>
    <n v="0"/>
    <n v="1"/>
    <n v="3"/>
    <x v="3"/>
    <x v="6"/>
    <n v="0"/>
    <n v="0"/>
    <n v="0"/>
  </r>
  <r>
    <n v="20"/>
    <x v="0"/>
    <s v="Travel_Rarely"/>
    <n v="129"/>
    <x v="1"/>
    <n v="4"/>
    <n v="3"/>
    <s v="Technical Degree"/>
    <n v="1"/>
    <n v="960"/>
    <x v="3"/>
    <s v="Male"/>
    <n v="84"/>
    <n v="3"/>
    <n v="1"/>
    <x v="2"/>
    <x v="3"/>
    <s v="Single"/>
    <n v="2973"/>
    <n v="13008"/>
    <n v="1"/>
    <s v="Y"/>
    <x v="1"/>
    <n v="19"/>
    <n v="3"/>
    <n v="2"/>
    <n v="80"/>
    <n v="0"/>
    <n v="1"/>
    <n v="2"/>
    <x v="1"/>
    <x v="6"/>
    <n v="0"/>
    <n v="0"/>
    <n v="0"/>
  </r>
  <r>
    <n v="31"/>
    <x v="1"/>
    <s v="Travel_Rarely"/>
    <n v="616"/>
    <x v="1"/>
    <n v="12"/>
    <n v="3"/>
    <s v="Medical"/>
    <n v="1"/>
    <n v="961"/>
    <x v="2"/>
    <s v="Female"/>
    <n v="41"/>
    <n v="3"/>
    <n v="2"/>
    <x v="4"/>
    <x v="0"/>
    <s v="Married"/>
    <n v="5855"/>
    <n v="17369"/>
    <n v="0"/>
    <s v="Y"/>
    <x v="0"/>
    <n v="11"/>
    <n v="3"/>
    <n v="3"/>
    <n v="80"/>
    <n v="2"/>
    <n v="10"/>
    <n v="2"/>
    <x v="0"/>
    <x v="7"/>
    <n v="7"/>
    <n v="8"/>
    <n v="5"/>
  </r>
  <r>
    <n v="40"/>
    <x v="1"/>
    <s v="Travel_Frequently"/>
    <n v="1469"/>
    <x v="1"/>
    <n v="9"/>
    <n v="4"/>
    <s v="Medical"/>
    <n v="1"/>
    <n v="964"/>
    <x v="2"/>
    <s v="Male"/>
    <n v="35"/>
    <n v="3"/>
    <n v="1"/>
    <x v="1"/>
    <x v="1"/>
    <s v="Divorced"/>
    <n v="3617"/>
    <n v="25063"/>
    <n v="8"/>
    <s v="Y"/>
    <x v="0"/>
    <n v="14"/>
    <n v="3"/>
    <n v="4"/>
    <n v="80"/>
    <n v="1"/>
    <n v="3"/>
    <n v="2"/>
    <x v="1"/>
    <x v="6"/>
    <n v="1"/>
    <n v="0"/>
    <n v="0"/>
  </r>
  <r>
    <n v="32"/>
    <x v="1"/>
    <s v="Travel_Rarely"/>
    <n v="498"/>
    <x v="1"/>
    <n v="3"/>
    <n v="4"/>
    <s v="Medical"/>
    <n v="1"/>
    <n v="966"/>
    <x v="1"/>
    <s v="Female"/>
    <n v="93"/>
    <n v="3"/>
    <n v="2"/>
    <x v="3"/>
    <x v="3"/>
    <s v="Married"/>
    <n v="6725"/>
    <n v="13554"/>
    <n v="1"/>
    <s v="Y"/>
    <x v="1"/>
    <n v="12"/>
    <n v="3"/>
    <n v="3"/>
    <n v="80"/>
    <n v="1"/>
    <n v="8"/>
    <n v="2"/>
    <x v="3"/>
    <x v="3"/>
    <n v="7"/>
    <n v="6"/>
    <n v="3"/>
  </r>
  <r>
    <n v="36"/>
    <x v="0"/>
    <s v="Travel_Rarely"/>
    <n v="530"/>
    <x v="0"/>
    <n v="3"/>
    <n v="1"/>
    <s v="Life Sciences"/>
    <n v="1"/>
    <n v="967"/>
    <x v="1"/>
    <s v="Male"/>
    <n v="51"/>
    <n v="2"/>
    <n v="3"/>
    <x v="0"/>
    <x v="0"/>
    <s v="Married"/>
    <n v="10325"/>
    <n v="5518"/>
    <n v="1"/>
    <s v="Y"/>
    <x v="0"/>
    <n v="11"/>
    <n v="3"/>
    <n v="1"/>
    <n v="80"/>
    <n v="1"/>
    <n v="16"/>
    <n v="6"/>
    <x v="1"/>
    <x v="22"/>
    <n v="7"/>
    <n v="3"/>
    <n v="7"/>
  </r>
  <r>
    <n v="33"/>
    <x v="1"/>
    <s v="Travel_Rarely"/>
    <n v="1069"/>
    <x v="1"/>
    <n v="1"/>
    <n v="3"/>
    <s v="Life Sciences"/>
    <n v="1"/>
    <n v="969"/>
    <x v="0"/>
    <s v="Female"/>
    <n v="42"/>
    <n v="2"/>
    <n v="2"/>
    <x v="4"/>
    <x v="0"/>
    <s v="Single"/>
    <n v="6949"/>
    <n v="12291"/>
    <n v="0"/>
    <s v="Y"/>
    <x v="1"/>
    <n v="14"/>
    <n v="3"/>
    <n v="1"/>
    <n v="80"/>
    <n v="0"/>
    <n v="6"/>
    <n v="3"/>
    <x v="1"/>
    <x v="8"/>
    <n v="0"/>
    <n v="1"/>
    <n v="4"/>
  </r>
  <r>
    <n v="37"/>
    <x v="0"/>
    <s v="Travel_Rarely"/>
    <n v="625"/>
    <x v="0"/>
    <n v="1"/>
    <n v="4"/>
    <s v="Life Sciences"/>
    <n v="1"/>
    <n v="970"/>
    <x v="3"/>
    <s v="Male"/>
    <n v="46"/>
    <n v="2"/>
    <n v="3"/>
    <x v="0"/>
    <x v="2"/>
    <s v="Married"/>
    <n v="10609"/>
    <n v="14922"/>
    <n v="5"/>
    <s v="Y"/>
    <x v="1"/>
    <n v="11"/>
    <n v="3"/>
    <n v="3"/>
    <n v="80"/>
    <n v="0"/>
    <n v="17"/>
    <n v="2"/>
    <x v="0"/>
    <x v="13"/>
    <n v="1"/>
    <n v="11"/>
    <n v="7"/>
  </r>
  <r>
    <n v="45"/>
    <x v="1"/>
    <s v="Non-Travel"/>
    <n v="805"/>
    <x v="1"/>
    <n v="4"/>
    <n v="2"/>
    <s v="Life Sciences"/>
    <n v="1"/>
    <n v="972"/>
    <x v="1"/>
    <s v="Male"/>
    <n v="57"/>
    <n v="3"/>
    <n v="2"/>
    <x v="2"/>
    <x v="1"/>
    <s v="Married"/>
    <n v="4447"/>
    <n v="23163"/>
    <n v="1"/>
    <s v="Y"/>
    <x v="1"/>
    <n v="12"/>
    <n v="3"/>
    <n v="2"/>
    <n v="80"/>
    <n v="0"/>
    <n v="9"/>
    <n v="5"/>
    <x v="2"/>
    <x v="7"/>
    <n v="7"/>
    <n v="0"/>
    <n v="8"/>
  </r>
  <r>
    <n v="29"/>
    <x v="1"/>
    <s v="Travel_Frequently"/>
    <n v="1404"/>
    <x v="0"/>
    <n v="20"/>
    <n v="3"/>
    <s v="Technical Degree"/>
    <n v="1"/>
    <n v="974"/>
    <x v="1"/>
    <s v="Female"/>
    <n v="84"/>
    <n v="3"/>
    <n v="1"/>
    <x v="6"/>
    <x v="0"/>
    <s v="Married"/>
    <n v="2157"/>
    <n v="18203"/>
    <n v="1"/>
    <s v="Y"/>
    <x v="1"/>
    <n v="15"/>
    <n v="3"/>
    <n v="2"/>
    <n v="80"/>
    <n v="1"/>
    <n v="3"/>
    <n v="5"/>
    <x v="1"/>
    <x v="11"/>
    <n v="1"/>
    <n v="0"/>
    <n v="2"/>
  </r>
  <r>
    <n v="35"/>
    <x v="1"/>
    <s v="Travel_Rarely"/>
    <n v="1219"/>
    <x v="0"/>
    <n v="18"/>
    <n v="3"/>
    <s v="Medical"/>
    <n v="1"/>
    <n v="975"/>
    <x v="1"/>
    <s v="Female"/>
    <n v="86"/>
    <n v="3"/>
    <n v="2"/>
    <x v="0"/>
    <x v="2"/>
    <s v="Married"/>
    <n v="4601"/>
    <n v="6179"/>
    <n v="1"/>
    <s v="Y"/>
    <x v="1"/>
    <n v="16"/>
    <n v="3"/>
    <n v="2"/>
    <n v="80"/>
    <n v="0"/>
    <n v="5"/>
    <n v="3"/>
    <x v="1"/>
    <x v="8"/>
    <n v="2"/>
    <n v="1"/>
    <n v="0"/>
  </r>
  <r>
    <n v="52"/>
    <x v="1"/>
    <s v="Travel_Rarely"/>
    <n v="1053"/>
    <x v="1"/>
    <n v="1"/>
    <n v="2"/>
    <s v="Life Sciences"/>
    <n v="1"/>
    <n v="976"/>
    <x v="2"/>
    <s v="Male"/>
    <n v="70"/>
    <n v="3"/>
    <n v="4"/>
    <x v="5"/>
    <x v="0"/>
    <s v="Married"/>
    <n v="17099"/>
    <n v="13829"/>
    <n v="2"/>
    <s v="Y"/>
    <x v="1"/>
    <n v="15"/>
    <n v="3"/>
    <n v="2"/>
    <n v="80"/>
    <n v="1"/>
    <n v="26"/>
    <n v="2"/>
    <x v="2"/>
    <x v="7"/>
    <n v="8"/>
    <n v="7"/>
    <n v="8"/>
  </r>
  <r>
    <n v="58"/>
    <x v="0"/>
    <s v="Travel_Rarely"/>
    <n v="289"/>
    <x v="1"/>
    <n v="2"/>
    <n v="3"/>
    <s v="Technical Degree"/>
    <n v="1"/>
    <n v="977"/>
    <x v="2"/>
    <s v="Male"/>
    <n v="51"/>
    <n v="3"/>
    <n v="1"/>
    <x v="1"/>
    <x v="2"/>
    <s v="Single"/>
    <n v="2479"/>
    <n v="26227"/>
    <n v="4"/>
    <s v="Y"/>
    <x v="1"/>
    <n v="24"/>
    <n v="4"/>
    <n v="1"/>
    <n v="80"/>
    <n v="0"/>
    <n v="7"/>
    <n v="4"/>
    <x v="1"/>
    <x v="6"/>
    <n v="0"/>
    <n v="0"/>
    <n v="0"/>
  </r>
  <r>
    <n v="53"/>
    <x v="1"/>
    <s v="Travel_Rarely"/>
    <n v="1376"/>
    <x v="0"/>
    <n v="2"/>
    <n v="2"/>
    <s v="Medical"/>
    <n v="1"/>
    <n v="981"/>
    <x v="1"/>
    <s v="Male"/>
    <n v="45"/>
    <n v="3"/>
    <n v="4"/>
    <x v="5"/>
    <x v="2"/>
    <s v="Divorced"/>
    <n v="14852"/>
    <n v="13938"/>
    <n v="6"/>
    <s v="Y"/>
    <x v="1"/>
    <n v="13"/>
    <n v="3"/>
    <n v="3"/>
    <n v="80"/>
    <n v="1"/>
    <n v="22"/>
    <n v="3"/>
    <x v="3"/>
    <x v="18"/>
    <n v="13"/>
    <n v="15"/>
    <n v="2"/>
  </r>
  <r>
    <n v="30"/>
    <x v="1"/>
    <s v="Travel_Rarely"/>
    <n v="231"/>
    <x v="0"/>
    <n v="8"/>
    <n v="2"/>
    <s v="Other"/>
    <n v="1"/>
    <n v="982"/>
    <x v="1"/>
    <s v="Male"/>
    <n v="62"/>
    <n v="3"/>
    <n v="3"/>
    <x v="0"/>
    <x v="2"/>
    <s v="Divorced"/>
    <n v="7264"/>
    <n v="9977"/>
    <n v="5"/>
    <s v="Y"/>
    <x v="1"/>
    <n v="11"/>
    <n v="3"/>
    <n v="1"/>
    <n v="80"/>
    <n v="1"/>
    <n v="10"/>
    <n v="2"/>
    <x v="3"/>
    <x v="3"/>
    <n v="4"/>
    <n v="7"/>
    <n v="7"/>
  </r>
  <r>
    <n v="38"/>
    <x v="1"/>
    <s v="Non-Travel"/>
    <n v="152"/>
    <x v="0"/>
    <n v="10"/>
    <n v="3"/>
    <s v="Technical Degree"/>
    <n v="1"/>
    <n v="983"/>
    <x v="1"/>
    <s v="Female"/>
    <n v="85"/>
    <n v="3"/>
    <n v="2"/>
    <x v="0"/>
    <x v="0"/>
    <s v="Single"/>
    <n v="5666"/>
    <n v="19899"/>
    <n v="1"/>
    <s v="Y"/>
    <x v="0"/>
    <n v="13"/>
    <n v="3"/>
    <n v="2"/>
    <n v="80"/>
    <n v="0"/>
    <n v="6"/>
    <n v="1"/>
    <x v="1"/>
    <x v="8"/>
    <n v="3"/>
    <n v="1"/>
    <n v="3"/>
  </r>
  <r>
    <n v="35"/>
    <x v="1"/>
    <s v="Travel_Rarely"/>
    <n v="882"/>
    <x v="0"/>
    <n v="3"/>
    <n v="4"/>
    <s v="Life Sciences"/>
    <n v="1"/>
    <n v="984"/>
    <x v="2"/>
    <s v="Male"/>
    <n v="92"/>
    <n v="3"/>
    <n v="3"/>
    <x v="0"/>
    <x v="0"/>
    <s v="Divorced"/>
    <n v="7823"/>
    <n v="6812"/>
    <n v="6"/>
    <s v="Y"/>
    <x v="1"/>
    <n v="13"/>
    <n v="3"/>
    <n v="2"/>
    <n v="80"/>
    <n v="1"/>
    <n v="12"/>
    <n v="2"/>
    <x v="1"/>
    <x v="1"/>
    <n v="9"/>
    <n v="0"/>
    <n v="8"/>
  </r>
  <r>
    <n v="39"/>
    <x v="1"/>
    <s v="Travel_Rarely"/>
    <n v="903"/>
    <x v="0"/>
    <n v="2"/>
    <n v="5"/>
    <s v="Life Sciences"/>
    <n v="1"/>
    <n v="985"/>
    <x v="3"/>
    <s v="Male"/>
    <n v="41"/>
    <n v="4"/>
    <n v="3"/>
    <x v="0"/>
    <x v="2"/>
    <s v="Single"/>
    <n v="7880"/>
    <n v="2560"/>
    <n v="0"/>
    <s v="Y"/>
    <x v="1"/>
    <n v="18"/>
    <n v="3"/>
    <n v="4"/>
    <n v="80"/>
    <n v="0"/>
    <n v="9"/>
    <n v="3"/>
    <x v="1"/>
    <x v="3"/>
    <n v="7"/>
    <n v="0"/>
    <n v="7"/>
  </r>
  <r>
    <n v="40"/>
    <x v="0"/>
    <s v="Non-Travel"/>
    <n v="1479"/>
    <x v="0"/>
    <n v="24"/>
    <n v="3"/>
    <s v="Life Sciences"/>
    <n v="1"/>
    <n v="986"/>
    <x v="0"/>
    <s v="Female"/>
    <n v="100"/>
    <n v="4"/>
    <n v="4"/>
    <x v="0"/>
    <x v="1"/>
    <s v="Single"/>
    <n v="13194"/>
    <n v="17071"/>
    <n v="4"/>
    <s v="Y"/>
    <x v="0"/>
    <n v="16"/>
    <n v="3"/>
    <n v="4"/>
    <n v="80"/>
    <n v="0"/>
    <n v="22"/>
    <n v="2"/>
    <x v="2"/>
    <x v="6"/>
    <n v="0"/>
    <n v="0"/>
    <n v="0"/>
  </r>
  <r>
    <n v="47"/>
    <x v="1"/>
    <s v="Travel_Frequently"/>
    <n v="1379"/>
    <x v="1"/>
    <n v="16"/>
    <n v="4"/>
    <s v="Medical"/>
    <n v="1"/>
    <n v="987"/>
    <x v="1"/>
    <s v="Male"/>
    <n v="64"/>
    <n v="4"/>
    <n v="2"/>
    <x v="3"/>
    <x v="2"/>
    <s v="Divorced"/>
    <n v="5067"/>
    <n v="6759"/>
    <n v="1"/>
    <s v="Y"/>
    <x v="0"/>
    <n v="19"/>
    <n v="3"/>
    <n v="3"/>
    <n v="80"/>
    <n v="0"/>
    <n v="20"/>
    <n v="3"/>
    <x v="3"/>
    <x v="27"/>
    <n v="10"/>
    <n v="2"/>
    <n v="7"/>
  </r>
  <r>
    <n v="36"/>
    <x v="1"/>
    <s v="Non-Travel"/>
    <n v="1229"/>
    <x v="0"/>
    <n v="8"/>
    <n v="4"/>
    <s v="Technical Degree"/>
    <n v="1"/>
    <n v="990"/>
    <x v="3"/>
    <s v="Male"/>
    <n v="84"/>
    <n v="3"/>
    <n v="2"/>
    <x v="0"/>
    <x v="0"/>
    <s v="Divorced"/>
    <n v="5079"/>
    <n v="25952"/>
    <n v="4"/>
    <s v="Y"/>
    <x v="1"/>
    <n v="13"/>
    <n v="3"/>
    <n v="4"/>
    <n v="80"/>
    <n v="2"/>
    <n v="12"/>
    <n v="3"/>
    <x v="1"/>
    <x v="5"/>
    <n v="7"/>
    <n v="0"/>
    <n v="7"/>
  </r>
  <r>
    <n v="31"/>
    <x v="0"/>
    <s v="Non-Travel"/>
    <n v="335"/>
    <x v="1"/>
    <n v="9"/>
    <n v="2"/>
    <s v="Medical"/>
    <n v="1"/>
    <n v="991"/>
    <x v="1"/>
    <s v="Male"/>
    <n v="46"/>
    <n v="2"/>
    <n v="1"/>
    <x v="1"/>
    <x v="3"/>
    <s v="Single"/>
    <n v="2321"/>
    <n v="10322"/>
    <n v="0"/>
    <s v="Y"/>
    <x v="0"/>
    <n v="22"/>
    <n v="4"/>
    <n v="1"/>
    <n v="80"/>
    <n v="0"/>
    <n v="4"/>
    <n v="0"/>
    <x v="1"/>
    <x v="11"/>
    <n v="2"/>
    <n v="1"/>
    <n v="2"/>
  </r>
  <r>
    <n v="33"/>
    <x v="1"/>
    <s v="Non-Travel"/>
    <n v="722"/>
    <x v="0"/>
    <n v="17"/>
    <n v="3"/>
    <s v="Life Sciences"/>
    <n v="1"/>
    <n v="992"/>
    <x v="2"/>
    <s v="Male"/>
    <n v="38"/>
    <n v="3"/>
    <n v="4"/>
    <x v="5"/>
    <x v="2"/>
    <s v="Single"/>
    <n v="17444"/>
    <n v="20489"/>
    <n v="1"/>
    <s v="Y"/>
    <x v="1"/>
    <n v="11"/>
    <n v="3"/>
    <n v="4"/>
    <n v="80"/>
    <n v="0"/>
    <n v="10"/>
    <n v="2"/>
    <x v="1"/>
    <x v="1"/>
    <n v="8"/>
    <n v="6"/>
    <n v="0"/>
  </r>
  <r>
    <n v="29"/>
    <x v="0"/>
    <s v="Travel_Rarely"/>
    <n v="906"/>
    <x v="1"/>
    <n v="10"/>
    <n v="3"/>
    <s v="Life Sciences"/>
    <n v="1"/>
    <n v="994"/>
    <x v="2"/>
    <s v="Female"/>
    <n v="92"/>
    <n v="2"/>
    <n v="1"/>
    <x v="1"/>
    <x v="3"/>
    <s v="Single"/>
    <n v="2404"/>
    <n v="11479"/>
    <n v="6"/>
    <s v="Y"/>
    <x v="0"/>
    <n v="20"/>
    <n v="4"/>
    <n v="3"/>
    <n v="80"/>
    <n v="0"/>
    <n v="3"/>
    <n v="5"/>
    <x v="1"/>
    <x v="2"/>
    <n v="0"/>
    <n v="0"/>
    <n v="0"/>
  </r>
  <r>
    <n v="33"/>
    <x v="1"/>
    <s v="Travel_Rarely"/>
    <n v="461"/>
    <x v="1"/>
    <n v="13"/>
    <n v="1"/>
    <s v="Life Sciences"/>
    <n v="1"/>
    <n v="995"/>
    <x v="0"/>
    <s v="Female"/>
    <n v="53"/>
    <n v="3"/>
    <n v="1"/>
    <x v="1"/>
    <x v="0"/>
    <s v="Single"/>
    <n v="3452"/>
    <n v="17241"/>
    <n v="3"/>
    <s v="Y"/>
    <x v="1"/>
    <n v="18"/>
    <n v="3"/>
    <n v="1"/>
    <n v="80"/>
    <n v="0"/>
    <n v="5"/>
    <n v="4"/>
    <x v="1"/>
    <x v="11"/>
    <n v="2"/>
    <n v="0"/>
    <n v="2"/>
  </r>
  <r>
    <n v="45"/>
    <x v="1"/>
    <s v="Travel_Rarely"/>
    <n v="974"/>
    <x v="1"/>
    <n v="1"/>
    <n v="4"/>
    <s v="Medical"/>
    <n v="1"/>
    <n v="996"/>
    <x v="2"/>
    <s v="Female"/>
    <n v="91"/>
    <n v="3"/>
    <n v="1"/>
    <x v="2"/>
    <x v="0"/>
    <s v="Divorced"/>
    <n v="2270"/>
    <n v="11005"/>
    <n v="3"/>
    <s v="Y"/>
    <x v="1"/>
    <n v="14"/>
    <n v="3"/>
    <n v="4"/>
    <n v="80"/>
    <n v="2"/>
    <n v="8"/>
    <n v="2"/>
    <x v="1"/>
    <x v="8"/>
    <n v="3"/>
    <n v="0"/>
    <n v="2"/>
  </r>
  <r>
    <n v="50"/>
    <x v="1"/>
    <s v="Travel_Rarely"/>
    <n v="1126"/>
    <x v="1"/>
    <n v="1"/>
    <n v="2"/>
    <s v="Medical"/>
    <n v="1"/>
    <n v="997"/>
    <x v="2"/>
    <s v="Male"/>
    <n v="66"/>
    <n v="3"/>
    <n v="4"/>
    <x v="7"/>
    <x v="0"/>
    <s v="Divorced"/>
    <n v="17399"/>
    <n v="6615"/>
    <n v="9"/>
    <s v="Y"/>
    <x v="1"/>
    <n v="22"/>
    <n v="4"/>
    <n v="3"/>
    <n v="80"/>
    <n v="1"/>
    <n v="32"/>
    <n v="1"/>
    <x v="2"/>
    <x v="8"/>
    <n v="4"/>
    <n v="1"/>
    <n v="3"/>
  </r>
  <r>
    <n v="33"/>
    <x v="1"/>
    <s v="Travel_Frequently"/>
    <n v="827"/>
    <x v="1"/>
    <n v="1"/>
    <n v="4"/>
    <s v="Other"/>
    <n v="1"/>
    <n v="998"/>
    <x v="1"/>
    <s v="Female"/>
    <n v="84"/>
    <n v="4"/>
    <n v="2"/>
    <x v="4"/>
    <x v="1"/>
    <s v="Married"/>
    <n v="5488"/>
    <n v="20161"/>
    <n v="1"/>
    <s v="Y"/>
    <x v="0"/>
    <n v="13"/>
    <n v="3"/>
    <n v="1"/>
    <n v="80"/>
    <n v="1"/>
    <n v="6"/>
    <n v="2"/>
    <x v="1"/>
    <x v="0"/>
    <n v="5"/>
    <n v="1"/>
    <n v="2"/>
  </r>
  <r>
    <n v="41"/>
    <x v="1"/>
    <s v="Travel_Frequently"/>
    <n v="840"/>
    <x v="1"/>
    <n v="9"/>
    <n v="3"/>
    <s v="Medical"/>
    <n v="1"/>
    <n v="999"/>
    <x v="3"/>
    <s v="Male"/>
    <n v="64"/>
    <n v="3"/>
    <n v="5"/>
    <x v="7"/>
    <x v="2"/>
    <s v="Divorced"/>
    <n v="19419"/>
    <n v="3735"/>
    <n v="2"/>
    <s v="Y"/>
    <x v="1"/>
    <n v="17"/>
    <n v="3"/>
    <n v="2"/>
    <n v="80"/>
    <n v="1"/>
    <n v="21"/>
    <n v="2"/>
    <x v="3"/>
    <x v="29"/>
    <n v="16"/>
    <n v="0"/>
    <n v="11"/>
  </r>
  <r>
    <n v="27"/>
    <x v="1"/>
    <s v="Travel_Rarely"/>
    <n v="1134"/>
    <x v="1"/>
    <n v="16"/>
    <n v="4"/>
    <s v="Technical Degree"/>
    <n v="1"/>
    <n v="1001"/>
    <x v="1"/>
    <s v="Female"/>
    <n v="37"/>
    <n v="3"/>
    <n v="1"/>
    <x v="2"/>
    <x v="1"/>
    <s v="Married"/>
    <n v="2811"/>
    <n v="12086"/>
    <n v="9"/>
    <s v="Y"/>
    <x v="1"/>
    <n v="14"/>
    <n v="3"/>
    <n v="2"/>
    <n v="80"/>
    <n v="1"/>
    <n v="4"/>
    <n v="2"/>
    <x v="1"/>
    <x v="4"/>
    <n v="2"/>
    <n v="2"/>
    <n v="2"/>
  </r>
  <r>
    <n v="45"/>
    <x v="1"/>
    <s v="Non-Travel"/>
    <n v="248"/>
    <x v="1"/>
    <n v="23"/>
    <n v="2"/>
    <s v="Life Sciences"/>
    <n v="1"/>
    <n v="1002"/>
    <x v="2"/>
    <s v="Male"/>
    <n v="42"/>
    <n v="3"/>
    <n v="2"/>
    <x v="2"/>
    <x v="3"/>
    <s v="Married"/>
    <n v="3633"/>
    <n v="14039"/>
    <n v="1"/>
    <s v="Y"/>
    <x v="0"/>
    <n v="15"/>
    <n v="3"/>
    <n v="3"/>
    <n v="80"/>
    <n v="1"/>
    <n v="9"/>
    <n v="2"/>
    <x v="1"/>
    <x v="7"/>
    <n v="8"/>
    <n v="0"/>
    <n v="8"/>
  </r>
  <r>
    <n v="47"/>
    <x v="1"/>
    <s v="Travel_Rarely"/>
    <n v="955"/>
    <x v="0"/>
    <n v="4"/>
    <n v="2"/>
    <s v="Life Sciences"/>
    <n v="1"/>
    <n v="1003"/>
    <x v="2"/>
    <s v="Female"/>
    <n v="83"/>
    <n v="3"/>
    <n v="2"/>
    <x v="0"/>
    <x v="0"/>
    <s v="Single"/>
    <n v="4163"/>
    <n v="8571"/>
    <n v="1"/>
    <s v="Y"/>
    <x v="0"/>
    <n v="17"/>
    <n v="3"/>
    <n v="3"/>
    <n v="80"/>
    <n v="0"/>
    <n v="9"/>
    <n v="0"/>
    <x v="1"/>
    <x v="7"/>
    <n v="0"/>
    <n v="0"/>
    <n v="7"/>
  </r>
  <r>
    <n v="30"/>
    <x v="0"/>
    <s v="Travel_Rarely"/>
    <n v="138"/>
    <x v="1"/>
    <n v="22"/>
    <n v="3"/>
    <s v="Life Sciences"/>
    <n v="1"/>
    <n v="1004"/>
    <x v="3"/>
    <s v="Female"/>
    <n v="48"/>
    <n v="3"/>
    <n v="1"/>
    <x v="1"/>
    <x v="2"/>
    <s v="Married"/>
    <n v="2132"/>
    <n v="11539"/>
    <n v="4"/>
    <s v="Y"/>
    <x v="0"/>
    <n v="11"/>
    <n v="3"/>
    <n v="2"/>
    <n v="80"/>
    <n v="0"/>
    <n v="7"/>
    <n v="2"/>
    <x v="1"/>
    <x v="8"/>
    <n v="2"/>
    <n v="0"/>
    <n v="1"/>
  </r>
  <r>
    <n v="50"/>
    <x v="1"/>
    <s v="Travel_Rarely"/>
    <n v="939"/>
    <x v="1"/>
    <n v="24"/>
    <n v="3"/>
    <s v="Life Sciences"/>
    <n v="1"/>
    <n v="1005"/>
    <x v="2"/>
    <s v="Male"/>
    <n v="95"/>
    <n v="3"/>
    <n v="4"/>
    <x v="3"/>
    <x v="2"/>
    <s v="Married"/>
    <n v="13973"/>
    <n v="4161"/>
    <n v="3"/>
    <s v="Y"/>
    <x v="0"/>
    <n v="18"/>
    <n v="3"/>
    <n v="4"/>
    <n v="80"/>
    <n v="1"/>
    <n v="22"/>
    <n v="2"/>
    <x v="1"/>
    <x v="12"/>
    <n v="11"/>
    <n v="1"/>
    <n v="5"/>
  </r>
  <r>
    <n v="38"/>
    <x v="1"/>
    <s v="Travel_Frequently"/>
    <n v="1391"/>
    <x v="1"/>
    <n v="10"/>
    <n v="1"/>
    <s v="Medical"/>
    <n v="1"/>
    <n v="1006"/>
    <x v="1"/>
    <s v="Male"/>
    <n v="66"/>
    <n v="3"/>
    <n v="1"/>
    <x v="1"/>
    <x v="2"/>
    <s v="Married"/>
    <n v="2684"/>
    <n v="12127"/>
    <n v="0"/>
    <s v="Y"/>
    <x v="1"/>
    <n v="17"/>
    <n v="3"/>
    <n v="2"/>
    <n v="80"/>
    <n v="1"/>
    <n v="3"/>
    <n v="0"/>
    <x v="2"/>
    <x v="4"/>
    <n v="1"/>
    <n v="0"/>
    <n v="2"/>
  </r>
  <r>
    <n v="46"/>
    <x v="1"/>
    <s v="Travel_Rarely"/>
    <n v="566"/>
    <x v="1"/>
    <n v="7"/>
    <n v="2"/>
    <s v="Medical"/>
    <n v="1"/>
    <n v="1007"/>
    <x v="2"/>
    <s v="Male"/>
    <n v="75"/>
    <n v="3"/>
    <n v="3"/>
    <x v="3"/>
    <x v="2"/>
    <s v="Divorced"/>
    <n v="10845"/>
    <n v="24208"/>
    <n v="6"/>
    <s v="Y"/>
    <x v="1"/>
    <n v="13"/>
    <n v="3"/>
    <n v="2"/>
    <n v="80"/>
    <n v="1"/>
    <n v="13"/>
    <n v="3"/>
    <x v="1"/>
    <x v="3"/>
    <n v="7"/>
    <n v="0"/>
    <n v="7"/>
  </r>
  <r>
    <n v="24"/>
    <x v="1"/>
    <s v="Travel_Rarely"/>
    <n v="1206"/>
    <x v="1"/>
    <n v="17"/>
    <n v="1"/>
    <s v="Medical"/>
    <n v="1"/>
    <n v="1009"/>
    <x v="2"/>
    <s v="Female"/>
    <n v="41"/>
    <n v="2"/>
    <n v="2"/>
    <x v="3"/>
    <x v="2"/>
    <s v="Divorced"/>
    <n v="4377"/>
    <n v="24117"/>
    <n v="1"/>
    <s v="Y"/>
    <x v="1"/>
    <n v="15"/>
    <n v="3"/>
    <n v="2"/>
    <n v="80"/>
    <n v="2"/>
    <n v="5"/>
    <n v="6"/>
    <x v="1"/>
    <x v="9"/>
    <n v="2"/>
    <n v="3"/>
    <n v="2"/>
  </r>
  <r>
    <n v="35"/>
    <x v="0"/>
    <s v="Travel_Rarely"/>
    <n v="622"/>
    <x v="1"/>
    <n v="14"/>
    <n v="4"/>
    <s v="Other"/>
    <n v="1"/>
    <n v="1010"/>
    <x v="1"/>
    <s v="Male"/>
    <n v="39"/>
    <n v="2"/>
    <n v="1"/>
    <x v="2"/>
    <x v="1"/>
    <s v="Divorced"/>
    <n v="3743"/>
    <n v="10074"/>
    <n v="1"/>
    <s v="Y"/>
    <x v="0"/>
    <n v="24"/>
    <n v="4"/>
    <n v="4"/>
    <n v="80"/>
    <n v="1"/>
    <n v="5"/>
    <n v="2"/>
    <x v="0"/>
    <x v="9"/>
    <n v="2"/>
    <n v="0"/>
    <n v="2"/>
  </r>
  <r>
    <n v="31"/>
    <x v="1"/>
    <s v="Travel_Frequently"/>
    <n v="853"/>
    <x v="1"/>
    <n v="1"/>
    <n v="1"/>
    <s v="Life Sciences"/>
    <n v="1"/>
    <n v="1011"/>
    <x v="1"/>
    <s v="Female"/>
    <n v="96"/>
    <n v="3"/>
    <n v="2"/>
    <x v="3"/>
    <x v="3"/>
    <s v="Married"/>
    <n v="4148"/>
    <n v="11275"/>
    <n v="1"/>
    <s v="Y"/>
    <x v="1"/>
    <n v="12"/>
    <n v="3"/>
    <n v="3"/>
    <n v="80"/>
    <n v="1"/>
    <n v="4"/>
    <n v="1"/>
    <x v="1"/>
    <x v="9"/>
    <n v="3"/>
    <n v="0"/>
    <n v="3"/>
  </r>
  <r>
    <n v="18"/>
    <x v="1"/>
    <s v="Non-Travel"/>
    <n v="287"/>
    <x v="1"/>
    <n v="5"/>
    <n v="2"/>
    <s v="Life Sciences"/>
    <n v="1"/>
    <n v="1012"/>
    <x v="0"/>
    <s v="Male"/>
    <n v="73"/>
    <n v="3"/>
    <n v="1"/>
    <x v="1"/>
    <x v="0"/>
    <s v="Single"/>
    <n v="1051"/>
    <n v="13493"/>
    <n v="1"/>
    <s v="Y"/>
    <x v="1"/>
    <n v="15"/>
    <n v="3"/>
    <n v="4"/>
    <n v="80"/>
    <n v="0"/>
    <n v="0"/>
    <n v="2"/>
    <x v="1"/>
    <x v="2"/>
    <n v="0"/>
    <n v="0"/>
    <n v="0"/>
  </r>
  <r>
    <n v="54"/>
    <x v="1"/>
    <s v="Travel_Rarely"/>
    <n v="1441"/>
    <x v="1"/>
    <n v="17"/>
    <n v="3"/>
    <s v="Technical Degree"/>
    <n v="1"/>
    <n v="1013"/>
    <x v="1"/>
    <s v="Female"/>
    <n v="56"/>
    <n v="3"/>
    <n v="3"/>
    <x v="3"/>
    <x v="2"/>
    <s v="Married"/>
    <n v="10739"/>
    <n v="13943"/>
    <n v="8"/>
    <s v="Y"/>
    <x v="1"/>
    <n v="11"/>
    <n v="3"/>
    <n v="3"/>
    <n v="80"/>
    <n v="1"/>
    <n v="22"/>
    <n v="2"/>
    <x v="1"/>
    <x v="1"/>
    <n v="7"/>
    <n v="0"/>
    <n v="8"/>
  </r>
  <r>
    <n v="35"/>
    <x v="1"/>
    <s v="Travel_Rarely"/>
    <n v="583"/>
    <x v="1"/>
    <n v="25"/>
    <n v="4"/>
    <s v="Medical"/>
    <n v="1"/>
    <n v="1014"/>
    <x v="1"/>
    <s v="Female"/>
    <n v="57"/>
    <n v="3"/>
    <n v="3"/>
    <x v="4"/>
    <x v="2"/>
    <s v="Divorced"/>
    <n v="10388"/>
    <n v="6975"/>
    <n v="1"/>
    <s v="Y"/>
    <x v="0"/>
    <n v="11"/>
    <n v="3"/>
    <n v="3"/>
    <n v="80"/>
    <n v="1"/>
    <n v="16"/>
    <n v="3"/>
    <x v="2"/>
    <x v="22"/>
    <n v="10"/>
    <n v="10"/>
    <n v="1"/>
  </r>
  <r>
    <n v="30"/>
    <x v="1"/>
    <s v="Travel_Rarely"/>
    <n v="153"/>
    <x v="1"/>
    <n v="8"/>
    <n v="2"/>
    <s v="Life Sciences"/>
    <n v="1"/>
    <n v="1015"/>
    <x v="0"/>
    <s v="Female"/>
    <n v="73"/>
    <n v="4"/>
    <n v="3"/>
    <x v="7"/>
    <x v="3"/>
    <s v="Married"/>
    <n v="11416"/>
    <n v="17802"/>
    <n v="0"/>
    <s v="Y"/>
    <x v="0"/>
    <n v="12"/>
    <n v="3"/>
    <n v="3"/>
    <n v="80"/>
    <n v="3"/>
    <n v="9"/>
    <n v="4"/>
    <x v="2"/>
    <x v="3"/>
    <n v="7"/>
    <n v="1"/>
    <n v="7"/>
  </r>
  <r>
    <n v="20"/>
    <x v="0"/>
    <s v="Travel_Rarely"/>
    <n v="1097"/>
    <x v="1"/>
    <n v="11"/>
    <n v="3"/>
    <s v="Medical"/>
    <n v="1"/>
    <n v="1016"/>
    <x v="2"/>
    <s v="Female"/>
    <n v="98"/>
    <n v="2"/>
    <n v="1"/>
    <x v="1"/>
    <x v="3"/>
    <s v="Single"/>
    <n v="2600"/>
    <n v="18275"/>
    <n v="1"/>
    <s v="Y"/>
    <x v="0"/>
    <n v="15"/>
    <n v="3"/>
    <n v="1"/>
    <n v="80"/>
    <n v="0"/>
    <n v="1"/>
    <n v="2"/>
    <x v="1"/>
    <x v="6"/>
    <n v="0"/>
    <n v="0"/>
    <n v="0"/>
  </r>
  <r>
    <n v="30"/>
    <x v="0"/>
    <s v="Travel_Frequently"/>
    <n v="109"/>
    <x v="1"/>
    <n v="5"/>
    <n v="3"/>
    <s v="Medical"/>
    <n v="1"/>
    <n v="1017"/>
    <x v="0"/>
    <s v="Female"/>
    <n v="60"/>
    <n v="3"/>
    <n v="1"/>
    <x v="2"/>
    <x v="1"/>
    <s v="Single"/>
    <n v="2422"/>
    <n v="25725"/>
    <n v="0"/>
    <s v="Y"/>
    <x v="1"/>
    <n v="17"/>
    <n v="3"/>
    <n v="1"/>
    <n v="80"/>
    <n v="0"/>
    <n v="4"/>
    <n v="3"/>
    <x v="1"/>
    <x v="11"/>
    <n v="2"/>
    <n v="1"/>
    <n v="2"/>
  </r>
  <r>
    <n v="26"/>
    <x v="1"/>
    <s v="Travel_Rarely"/>
    <n v="1066"/>
    <x v="1"/>
    <n v="2"/>
    <n v="2"/>
    <s v="Medical"/>
    <n v="1"/>
    <n v="1018"/>
    <x v="2"/>
    <s v="Male"/>
    <n v="32"/>
    <n v="4"/>
    <n v="2"/>
    <x v="3"/>
    <x v="0"/>
    <s v="Married"/>
    <n v="5472"/>
    <n v="3334"/>
    <n v="1"/>
    <s v="Y"/>
    <x v="1"/>
    <n v="12"/>
    <n v="3"/>
    <n v="2"/>
    <n v="80"/>
    <n v="0"/>
    <n v="8"/>
    <n v="2"/>
    <x v="1"/>
    <x v="3"/>
    <n v="7"/>
    <n v="1"/>
    <n v="3"/>
  </r>
  <r>
    <n v="22"/>
    <x v="1"/>
    <s v="Travel_Rarely"/>
    <n v="217"/>
    <x v="1"/>
    <n v="8"/>
    <n v="1"/>
    <s v="Life Sciences"/>
    <n v="1"/>
    <n v="1019"/>
    <x v="0"/>
    <s v="Male"/>
    <n v="94"/>
    <n v="1"/>
    <n v="1"/>
    <x v="2"/>
    <x v="3"/>
    <s v="Married"/>
    <n v="2451"/>
    <n v="6881"/>
    <n v="1"/>
    <s v="Y"/>
    <x v="1"/>
    <n v="15"/>
    <n v="3"/>
    <n v="1"/>
    <n v="80"/>
    <n v="1"/>
    <n v="4"/>
    <n v="3"/>
    <x v="2"/>
    <x v="9"/>
    <n v="3"/>
    <n v="1"/>
    <n v="1"/>
  </r>
  <r>
    <n v="48"/>
    <x v="1"/>
    <s v="Travel_Rarely"/>
    <n v="277"/>
    <x v="1"/>
    <n v="6"/>
    <n v="3"/>
    <s v="Life Sciences"/>
    <n v="1"/>
    <n v="1022"/>
    <x v="3"/>
    <s v="Male"/>
    <n v="97"/>
    <n v="2"/>
    <n v="2"/>
    <x v="4"/>
    <x v="2"/>
    <s v="Single"/>
    <n v="4240"/>
    <n v="13119"/>
    <n v="2"/>
    <s v="Y"/>
    <x v="1"/>
    <n v="13"/>
    <n v="3"/>
    <n v="4"/>
    <n v="80"/>
    <n v="0"/>
    <n v="19"/>
    <n v="0"/>
    <x v="1"/>
    <x v="4"/>
    <n v="2"/>
    <n v="2"/>
    <n v="2"/>
  </r>
  <r>
    <n v="48"/>
    <x v="1"/>
    <s v="Travel_Rarely"/>
    <n v="1355"/>
    <x v="1"/>
    <n v="4"/>
    <n v="4"/>
    <s v="Life Sciences"/>
    <n v="1"/>
    <n v="1024"/>
    <x v="1"/>
    <s v="Male"/>
    <n v="78"/>
    <n v="2"/>
    <n v="3"/>
    <x v="4"/>
    <x v="2"/>
    <s v="Single"/>
    <n v="10999"/>
    <n v="22245"/>
    <n v="7"/>
    <s v="Y"/>
    <x v="1"/>
    <n v="14"/>
    <n v="3"/>
    <n v="2"/>
    <n v="80"/>
    <n v="0"/>
    <n v="27"/>
    <n v="3"/>
    <x v="1"/>
    <x v="15"/>
    <n v="11"/>
    <n v="4"/>
    <n v="8"/>
  </r>
  <r>
    <n v="41"/>
    <x v="1"/>
    <s v="Travel_Rarely"/>
    <n v="549"/>
    <x v="1"/>
    <n v="7"/>
    <n v="2"/>
    <s v="Medical"/>
    <n v="1"/>
    <n v="1025"/>
    <x v="2"/>
    <s v="Female"/>
    <n v="42"/>
    <n v="3"/>
    <n v="2"/>
    <x v="3"/>
    <x v="2"/>
    <s v="Single"/>
    <n v="5003"/>
    <n v="23371"/>
    <n v="6"/>
    <s v="Y"/>
    <x v="1"/>
    <n v="14"/>
    <n v="3"/>
    <n v="2"/>
    <n v="80"/>
    <n v="0"/>
    <n v="8"/>
    <n v="6"/>
    <x v="1"/>
    <x v="4"/>
    <n v="2"/>
    <n v="2"/>
    <n v="1"/>
  </r>
  <r>
    <n v="39"/>
    <x v="1"/>
    <s v="Travel_Rarely"/>
    <n v="466"/>
    <x v="1"/>
    <n v="1"/>
    <n v="1"/>
    <s v="Life Sciences"/>
    <n v="1"/>
    <n v="1026"/>
    <x v="2"/>
    <s v="Female"/>
    <n v="65"/>
    <n v="2"/>
    <n v="4"/>
    <x v="3"/>
    <x v="0"/>
    <s v="Married"/>
    <n v="12742"/>
    <n v="7060"/>
    <n v="1"/>
    <s v="Y"/>
    <x v="1"/>
    <n v="16"/>
    <n v="3"/>
    <n v="3"/>
    <n v="80"/>
    <n v="1"/>
    <n v="21"/>
    <n v="3"/>
    <x v="1"/>
    <x v="17"/>
    <n v="6"/>
    <n v="11"/>
    <n v="8"/>
  </r>
  <r>
    <n v="27"/>
    <x v="1"/>
    <s v="Travel_Rarely"/>
    <n v="1055"/>
    <x v="1"/>
    <n v="2"/>
    <n v="4"/>
    <s v="Life Sciences"/>
    <n v="1"/>
    <n v="1027"/>
    <x v="3"/>
    <s v="Female"/>
    <n v="47"/>
    <n v="3"/>
    <n v="2"/>
    <x v="3"/>
    <x v="0"/>
    <s v="Married"/>
    <n v="4227"/>
    <n v="4658"/>
    <n v="0"/>
    <s v="Y"/>
    <x v="1"/>
    <n v="18"/>
    <n v="3"/>
    <n v="2"/>
    <n v="80"/>
    <n v="1"/>
    <n v="4"/>
    <n v="2"/>
    <x v="1"/>
    <x v="11"/>
    <n v="2"/>
    <n v="2"/>
    <n v="2"/>
  </r>
  <r>
    <n v="35"/>
    <x v="1"/>
    <s v="Travel_Rarely"/>
    <n v="802"/>
    <x v="1"/>
    <n v="10"/>
    <n v="3"/>
    <s v="Other"/>
    <n v="1"/>
    <n v="1028"/>
    <x v="0"/>
    <s v="Male"/>
    <n v="45"/>
    <n v="3"/>
    <n v="1"/>
    <x v="2"/>
    <x v="0"/>
    <s v="Divorced"/>
    <n v="3917"/>
    <n v="9541"/>
    <n v="1"/>
    <s v="Y"/>
    <x v="1"/>
    <n v="20"/>
    <n v="4"/>
    <n v="1"/>
    <n v="80"/>
    <n v="1"/>
    <n v="3"/>
    <n v="4"/>
    <x v="2"/>
    <x v="11"/>
    <n v="2"/>
    <n v="1"/>
    <n v="2"/>
  </r>
  <r>
    <n v="42"/>
    <x v="1"/>
    <s v="Travel_Rarely"/>
    <n v="265"/>
    <x v="0"/>
    <n v="5"/>
    <n v="2"/>
    <s v="Marketing"/>
    <n v="1"/>
    <n v="1029"/>
    <x v="2"/>
    <s v="Male"/>
    <n v="90"/>
    <n v="3"/>
    <n v="5"/>
    <x v="5"/>
    <x v="2"/>
    <s v="Married"/>
    <n v="18303"/>
    <n v="7770"/>
    <n v="6"/>
    <s v="Y"/>
    <x v="1"/>
    <n v="13"/>
    <n v="3"/>
    <n v="2"/>
    <n v="80"/>
    <n v="0"/>
    <n v="21"/>
    <n v="3"/>
    <x v="3"/>
    <x v="6"/>
    <n v="0"/>
    <n v="0"/>
    <n v="0"/>
  </r>
  <r>
    <n v="50"/>
    <x v="1"/>
    <s v="Travel_Rarely"/>
    <n v="804"/>
    <x v="1"/>
    <n v="9"/>
    <n v="3"/>
    <s v="Life Sciences"/>
    <n v="1"/>
    <n v="1030"/>
    <x v="3"/>
    <s v="Male"/>
    <n v="64"/>
    <n v="3"/>
    <n v="1"/>
    <x v="2"/>
    <x v="0"/>
    <s v="Married"/>
    <n v="2380"/>
    <n v="20165"/>
    <n v="4"/>
    <s v="Y"/>
    <x v="1"/>
    <n v="18"/>
    <n v="3"/>
    <n v="2"/>
    <n v="80"/>
    <n v="0"/>
    <n v="8"/>
    <n v="5"/>
    <x v="1"/>
    <x v="6"/>
    <n v="0"/>
    <n v="0"/>
    <n v="0"/>
  </r>
  <r>
    <n v="59"/>
    <x v="1"/>
    <s v="Travel_Rarely"/>
    <n v="715"/>
    <x v="1"/>
    <n v="2"/>
    <n v="3"/>
    <s v="Life Sciences"/>
    <n v="1"/>
    <n v="1032"/>
    <x v="1"/>
    <s v="Female"/>
    <n v="69"/>
    <n v="2"/>
    <n v="4"/>
    <x v="3"/>
    <x v="0"/>
    <s v="Single"/>
    <n v="13726"/>
    <n v="21829"/>
    <n v="3"/>
    <s v="Y"/>
    <x v="0"/>
    <n v="13"/>
    <n v="3"/>
    <n v="1"/>
    <n v="80"/>
    <n v="0"/>
    <n v="30"/>
    <n v="4"/>
    <x v="1"/>
    <x v="8"/>
    <n v="3"/>
    <n v="4"/>
    <n v="3"/>
  </r>
  <r>
    <n v="37"/>
    <x v="0"/>
    <s v="Travel_Rarely"/>
    <n v="1141"/>
    <x v="1"/>
    <n v="11"/>
    <n v="2"/>
    <s v="Medical"/>
    <n v="1"/>
    <n v="1033"/>
    <x v="3"/>
    <s v="Female"/>
    <n v="61"/>
    <n v="1"/>
    <n v="2"/>
    <x v="4"/>
    <x v="1"/>
    <s v="Married"/>
    <n v="4777"/>
    <n v="14382"/>
    <n v="5"/>
    <s v="Y"/>
    <x v="1"/>
    <n v="15"/>
    <n v="3"/>
    <n v="1"/>
    <n v="80"/>
    <n v="0"/>
    <n v="15"/>
    <n v="2"/>
    <x v="0"/>
    <x v="6"/>
    <n v="0"/>
    <n v="0"/>
    <n v="0"/>
  </r>
  <r>
    <n v="55"/>
    <x v="1"/>
    <s v="Travel_Frequently"/>
    <n v="135"/>
    <x v="1"/>
    <n v="18"/>
    <n v="4"/>
    <s v="Medical"/>
    <n v="1"/>
    <n v="1034"/>
    <x v="1"/>
    <s v="Male"/>
    <n v="62"/>
    <n v="3"/>
    <n v="2"/>
    <x v="4"/>
    <x v="1"/>
    <s v="Married"/>
    <n v="6385"/>
    <n v="12992"/>
    <n v="3"/>
    <s v="Y"/>
    <x v="0"/>
    <n v="14"/>
    <n v="3"/>
    <n v="4"/>
    <n v="80"/>
    <n v="2"/>
    <n v="17"/>
    <n v="3"/>
    <x v="1"/>
    <x v="3"/>
    <n v="7"/>
    <n v="6"/>
    <n v="7"/>
  </r>
  <r>
    <n v="41"/>
    <x v="1"/>
    <s v="Non-Travel"/>
    <n v="247"/>
    <x v="1"/>
    <n v="7"/>
    <n v="1"/>
    <s v="Life Sciences"/>
    <n v="1"/>
    <n v="1035"/>
    <x v="0"/>
    <s v="Female"/>
    <n v="55"/>
    <n v="1"/>
    <n v="5"/>
    <x v="7"/>
    <x v="2"/>
    <s v="Divorced"/>
    <n v="19973"/>
    <n v="20284"/>
    <n v="1"/>
    <s v="Y"/>
    <x v="1"/>
    <n v="22"/>
    <n v="4"/>
    <n v="2"/>
    <n v="80"/>
    <n v="2"/>
    <n v="21"/>
    <n v="3"/>
    <x v="1"/>
    <x v="17"/>
    <n v="16"/>
    <n v="5"/>
    <n v="10"/>
  </r>
  <r>
    <n v="38"/>
    <x v="1"/>
    <s v="Travel_Rarely"/>
    <n v="1035"/>
    <x v="0"/>
    <n v="3"/>
    <n v="4"/>
    <s v="Life Sciences"/>
    <n v="1"/>
    <n v="1036"/>
    <x v="0"/>
    <s v="Male"/>
    <n v="42"/>
    <n v="3"/>
    <n v="2"/>
    <x v="0"/>
    <x v="0"/>
    <s v="Single"/>
    <n v="6861"/>
    <n v="4981"/>
    <n v="8"/>
    <s v="Y"/>
    <x v="0"/>
    <n v="12"/>
    <n v="3"/>
    <n v="3"/>
    <n v="80"/>
    <n v="0"/>
    <n v="19"/>
    <n v="1"/>
    <x v="1"/>
    <x v="6"/>
    <n v="0"/>
    <n v="0"/>
    <n v="0"/>
  </r>
  <r>
    <n v="26"/>
    <x v="0"/>
    <s v="Non-Travel"/>
    <n v="265"/>
    <x v="0"/>
    <n v="29"/>
    <n v="2"/>
    <s v="Medical"/>
    <n v="1"/>
    <n v="1037"/>
    <x v="0"/>
    <s v="Male"/>
    <n v="79"/>
    <n v="1"/>
    <n v="2"/>
    <x v="0"/>
    <x v="3"/>
    <s v="Single"/>
    <n v="4969"/>
    <n v="21813"/>
    <n v="8"/>
    <s v="Y"/>
    <x v="1"/>
    <n v="18"/>
    <n v="3"/>
    <n v="4"/>
    <n v="80"/>
    <n v="0"/>
    <n v="7"/>
    <n v="6"/>
    <x v="1"/>
    <x v="4"/>
    <n v="2"/>
    <n v="2"/>
    <n v="2"/>
  </r>
  <r>
    <n v="52"/>
    <x v="0"/>
    <s v="Travel_Rarely"/>
    <n v="266"/>
    <x v="0"/>
    <n v="2"/>
    <n v="1"/>
    <s v="Marketing"/>
    <n v="1"/>
    <n v="1038"/>
    <x v="3"/>
    <s v="Female"/>
    <n v="57"/>
    <n v="1"/>
    <n v="5"/>
    <x v="5"/>
    <x v="0"/>
    <s v="Married"/>
    <n v="19845"/>
    <n v="25846"/>
    <n v="1"/>
    <s v="Y"/>
    <x v="1"/>
    <n v="15"/>
    <n v="3"/>
    <n v="4"/>
    <n v="80"/>
    <n v="1"/>
    <n v="33"/>
    <n v="3"/>
    <x v="1"/>
    <x v="32"/>
    <n v="14"/>
    <n v="6"/>
    <n v="9"/>
  </r>
  <r>
    <n v="44"/>
    <x v="1"/>
    <s v="Travel_Rarely"/>
    <n v="1448"/>
    <x v="0"/>
    <n v="28"/>
    <n v="3"/>
    <s v="Medical"/>
    <n v="1"/>
    <n v="1039"/>
    <x v="2"/>
    <s v="Female"/>
    <n v="53"/>
    <n v="4"/>
    <n v="4"/>
    <x v="0"/>
    <x v="0"/>
    <s v="Married"/>
    <n v="13320"/>
    <n v="11737"/>
    <n v="3"/>
    <s v="Y"/>
    <x v="0"/>
    <n v="18"/>
    <n v="3"/>
    <n v="3"/>
    <n v="80"/>
    <n v="1"/>
    <n v="23"/>
    <n v="2"/>
    <x v="1"/>
    <x v="12"/>
    <n v="11"/>
    <n v="11"/>
    <n v="11"/>
  </r>
  <r>
    <n v="50"/>
    <x v="1"/>
    <s v="Non-Travel"/>
    <n v="145"/>
    <x v="0"/>
    <n v="1"/>
    <n v="3"/>
    <s v="Life Sciences"/>
    <n v="1"/>
    <n v="1040"/>
    <x v="2"/>
    <s v="Female"/>
    <n v="95"/>
    <n v="3"/>
    <n v="2"/>
    <x v="0"/>
    <x v="2"/>
    <s v="Married"/>
    <n v="6347"/>
    <n v="24920"/>
    <n v="0"/>
    <s v="Y"/>
    <x v="1"/>
    <n v="12"/>
    <n v="3"/>
    <n v="1"/>
    <n v="80"/>
    <n v="1"/>
    <n v="19"/>
    <n v="3"/>
    <x v="1"/>
    <x v="29"/>
    <n v="7"/>
    <n v="0"/>
    <n v="13"/>
  </r>
  <r>
    <n v="36"/>
    <x v="0"/>
    <s v="Travel_Rarely"/>
    <n v="885"/>
    <x v="1"/>
    <n v="16"/>
    <n v="4"/>
    <s v="Life Sciences"/>
    <n v="1"/>
    <n v="1042"/>
    <x v="1"/>
    <s v="Female"/>
    <n v="43"/>
    <n v="4"/>
    <n v="1"/>
    <x v="2"/>
    <x v="3"/>
    <s v="Single"/>
    <n v="2743"/>
    <n v="8269"/>
    <n v="1"/>
    <s v="Y"/>
    <x v="1"/>
    <n v="16"/>
    <n v="3"/>
    <n v="3"/>
    <n v="80"/>
    <n v="0"/>
    <n v="18"/>
    <n v="1"/>
    <x v="1"/>
    <x v="18"/>
    <n v="13"/>
    <n v="15"/>
    <n v="14"/>
  </r>
  <r>
    <n v="39"/>
    <x v="1"/>
    <s v="Travel_Frequently"/>
    <n v="945"/>
    <x v="1"/>
    <n v="22"/>
    <n v="3"/>
    <s v="Medical"/>
    <n v="1"/>
    <n v="1043"/>
    <x v="2"/>
    <s v="Female"/>
    <n v="82"/>
    <n v="3"/>
    <n v="3"/>
    <x v="3"/>
    <x v="3"/>
    <s v="Single"/>
    <n v="10880"/>
    <n v="5083"/>
    <n v="1"/>
    <s v="Y"/>
    <x v="0"/>
    <n v="13"/>
    <n v="3"/>
    <n v="3"/>
    <n v="80"/>
    <n v="0"/>
    <n v="21"/>
    <n v="2"/>
    <x v="1"/>
    <x v="17"/>
    <n v="6"/>
    <n v="2"/>
    <n v="8"/>
  </r>
  <r>
    <n v="33"/>
    <x v="1"/>
    <s v="Non-Travel"/>
    <n v="1038"/>
    <x v="0"/>
    <n v="8"/>
    <n v="1"/>
    <s v="Life Sciences"/>
    <n v="1"/>
    <n v="1044"/>
    <x v="0"/>
    <s v="Female"/>
    <n v="88"/>
    <n v="2"/>
    <n v="1"/>
    <x v="6"/>
    <x v="0"/>
    <s v="Single"/>
    <n v="2342"/>
    <n v="21437"/>
    <n v="0"/>
    <s v="Y"/>
    <x v="1"/>
    <n v="19"/>
    <n v="3"/>
    <n v="4"/>
    <n v="80"/>
    <n v="0"/>
    <n v="3"/>
    <n v="2"/>
    <x v="2"/>
    <x v="4"/>
    <n v="2"/>
    <n v="2"/>
    <n v="2"/>
  </r>
  <r>
    <n v="45"/>
    <x v="1"/>
    <s v="Travel_Rarely"/>
    <n v="1234"/>
    <x v="0"/>
    <n v="11"/>
    <n v="2"/>
    <s v="Life Sciences"/>
    <n v="1"/>
    <n v="1045"/>
    <x v="2"/>
    <s v="Female"/>
    <n v="90"/>
    <n v="3"/>
    <n v="4"/>
    <x v="5"/>
    <x v="0"/>
    <s v="Married"/>
    <n v="17650"/>
    <n v="5404"/>
    <n v="3"/>
    <s v="Y"/>
    <x v="1"/>
    <n v="13"/>
    <n v="3"/>
    <n v="2"/>
    <n v="80"/>
    <n v="1"/>
    <n v="26"/>
    <n v="4"/>
    <x v="3"/>
    <x v="7"/>
    <n v="3"/>
    <n v="1"/>
    <n v="1"/>
  </r>
  <r>
    <n v="32"/>
    <x v="1"/>
    <s v="Non-Travel"/>
    <n v="1109"/>
    <x v="1"/>
    <n v="29"/>
    <n v="4"/>
    <s v="Medical"/>
    <n v="1"/>
    <n v="1046"/>
    <x v="2"/>
    <s v="Female"/>
    <n v="69"/>
    <n v="3"/>
    <n v="1"/>
    <x v="2"/>
    <x v="2"/>
    <s v="Single"/>
    <n v="4025"/>
    <n v="11135"/>
    <n v="9"/>
    <s v="Y"/>
    <x v="1"/>
    <n v="12"/>
    <n v="3"/>
    <n v="2"/>
    <n v="80"/>
    <n v="0"/>
    <n v="10"/>
    <n v="2"/>
    <x v="1"/>
    <x v="3"/>
    <n v="7"/>
    <n v="7"/>
    <n v="7"/>
  </r>
  <r>
    <n v="34"/>
    <x v="1"/>
    <s v="Travel_Rarely"/>
    <n v="216"/>
    <x v="0"/>
    <n v="1"/>
    <n v="4"/>
    <s v="Marketing"/>
    <n v="1"/>
    <n v="1047"/>
    <x v="0"/>
    <s v="Male"/>
    <n v="75"/>
    <n v="4"/>
    <n v="2"/>
    <x v="0"/>
    <x v="0"/>
    <s v="Divorced"/>
    <n v="9725"/>
    <n v="12278"/>
    <n v="0"/>
    <s v="Y"/>
    <x v="1"/>
    <n v="11"/>
    <n v="3"/>
    <n v="4"/>
    <n v="80"/>
    <n v="1"/>
    <n v="16"/>
    <n v="2"/>
    <x v="2"/>
    <x v="15"/>
    <n v="1"/>
    <n v="0"/>
    <n v="9"/>
  </r>
  <r>
    <n v="59"/>
    <x v="1"/>
    <s v="Travel_Rarely"/>
    <n v="1089"/>
    <x v="0"/>
    <n v="1"/>
    <n v="2"/>
    <s v="Technical Degree"/>
    <n v="1"/>
    <n v="1048"/>
    <x v="0"/>
    <s v="Male"/>
    <n v="66"/>
    <n v="3"/>
    <n v="3"/>
    <x v="5"/>
    <x v="0"/>
    <s v="Married"/>
    <n v="11904"/>
    <n v="11038"/>
    <n v="3"/>
    <s v="Y"/>
    <x v="0"/>
    <n v="14"/>
    <n v="3"/>
    <n v="3"/>
    <n v="80"/>
    <n v="1"/>
    <n v="14"/>
    <n v="1"/>
    <x v="0"/>
    <x v="0"/>
    <n v="4"/>
    <n v="0"/>
    <n v="4"/>
  </r>
  <r>
    <n v="45"/>
    <x v="1"/>
    <s v="Travel_Rarely"/>
    <n v="788"/>
    <x v="2"/>
    <n v="24"/>
    <n v="4"/>
    <s v="Medical"/>
    <n v="1"/>
    <n v="1049"/>
    <x v="0"/>
    <s v="Male"/>
    <n v="36"/>
    <n v="3"/>
    <n v="1"/>
    <x v="8"/>
    <x v="1"/>
    <s v="Single"/>
    <n v="2177"/>
    <n v="8318"/>
    <n v="1"/>
    <s v="Y"/>
    <x v="1"/>
    <n v="16"/>
    <n v="3"/>
    <n v="1"/>
    <n v="80"/>
    <n v="0"/>
    <n v="6"/>
    <n v="3"/>
    <x v="1"/>
    <x v="0"/>
    <n v="3"/>
    <n v="0"/>
    <n v="4"/>
  </r>
  <r>
    <n v="53"/>
    <x v="1"/>
    <s v="Travel_Frequently"/>
    <n v="124"/>
    <x v="0"/>
    <n v="2"/>
    <n v="3"/>
    <s v="Marketing"/>
    <n v="1"/>
    <n v="1050"/>
    <x v="1"/>
    <s v="Female"/>
    <n v="38"/>
    <n v="2"/>
    <n v="3"/>
    <x v="0"/>
    <x v="1"/>
    <s v="Married"/>
    <n v="7525"/>
    <n v="23537"/>
    <n v="2"/>
    <s v="Y"/>
    <x v="1"/>
    <n v="12"/>
    <n v="3"/>
    <n v="1"/>
    <n v="80"/>
    <n v="1"/>
    <n v="30"/>
    <n v="2"/>
    <x v="1"/>
    <x v="15"/>
    <n v="7"/>
    <n v="6"/>
    <n v="12"/>
  </r>
  <r>
    <n v="36"/>
    <x v="0"/>
    <s v="Travel_Rarely"/>
    <n v="660"/>
    <x v="1"/>
    <n v="15"/>
    <n v="3"/>
    <s v="Other"/>
    <n v="1"/>
    <n v="1052"/>
    <x v="3"/>
    <s v="Male"/>
    <n v="81"/>
    <n v="3"/>
    <n v="2"/>
    <x v="2"/>
    <x v="2"/>
    <s v="Divorced"/>
    <n v="4834"/>
    <n v="7858"/>
    <n v="7"/>
    <s v="Y"/>
    <x v="1"/>
    <n v="14"/>
    <n v="3"/>
    <n v="2"/>
    <n v="80"/>
    <n v="1"/>
    <n v="9"/>
    <n v="3"/>
    <x v="2"/>
    <x v="6"/>
    <n v="0"/>
    <n v="0"/>
    <n v="0"/>
  </r>
  <r>
    <n v="26"/>
    <x v="0"/>
    <s v="Travel_Frequently"/>
    <n v="342"/>
    <x v="1"/>
    <n v="2"/>
    <n v="3"/>
    <s v="Life Sciences"/>
    <n v="1"/>
    <n v="1053"/>
    <x v="3"/>
    <s v="Male"/>
    <n v="57"/>
    <n v="3"/>
    <n v="1"/>
    <x v="1"/>
    <x v="3"/>
    <s v="Married"/>
    <n v="2042"/>
    <n v="15346"/>
    <n v="6"/>
    <s v="Y"/>
    <x v="0"/>
    <n v="14"/>
    <n v="3"/>
    <n v="2"/>
    <n v="80"/>
    <n v="1"/>
    <n v="6"/>
    <n v="2"/>
    <x v="1"/>
    <x v="11"/>
    <n v="2"/>
    <n v="1"/>
    <n v="2"/>
  </r>
  <r>
    <n v="34"/>
    <x v="1"/>
    <s v="Travel_Rarely"/>
    <n v="1333"/>
    <x v="0"/>
    <n v="10"/>
    <n v="4"/>
    <s v="Life Sciences"/>
    <n v="1"/>
    <n v="1055"/>
    <x v="1"/>
    <s v="Female"/>
    <n v="87"/>
    <n v="3"/>
    <n v="1"/>
    <x v="6"/>
    <x v="2"/>
    <s v="Married"/>
    <n v="2220"/>
    <n v="18410"/>
    <n v="1"/>
    <s v="Y"/>
    <x v="0"/>
    <n v="19"/>
    <n v="3"/>
    <n v="4"/>
    <n v="80"/>
    <n v="1"/>
    <n v="1"/>
    <n v="2"/>
    <x v="1"/>
    <x v="6"/>
    <n v="1"/>
    <n v="0"/>
    <n v="0"/>
  </r>
  <r>
    <n v="28"/>
    <x v="1"/>
    <s v="Travel_Rarely"/>
    <n v="1144"/>
    <x v="0"/>
    <n v="10"/>
    <n v="1"/>
    <s v="Medical"/>
    <n v="1"/>
    <n v="1056"/>
    <x v="2"/>
    <s v="Male"/>
    <n v="74"/>
    <n v="3"/>
    <n v="1"/>
    <x v="6"/>
    <x v="1"/>
    <s v="Married"/>
    <n v="1052"/>
    <n v="23384"/>
    <n v="1"/>
    <s v="Y"/>
    <x v="1"/>
    <n v="22"/>
    <n v="4"/>
    <n v="2"/>
    <n v="80"/>
    <n v="0"/>
    <n v="1"/>
    <n v="5"/>
    <x v="1"/>
    <x v="6"/>
    <n v="0"/>
    <n v="0"/>
    <n v="0"/>
  </r>
  <r>
    <n v="38"/>
    <x v="1"/>
    <s v="Travel_Frequently"/>
    <n v="1186"/>
    <x v="1"/>
    <n v="3"/>
    <n v="4"/>
    <s v="Other"/>
    <n v="1"/>
    <n v="1060"/>
    <x v="1"/>
    <s v="Male"/>
    <n v="44"/>
    <n v="3"/>
    <n v="1"/>
    <x v="1"/>
    <x v="2"/>
    <s v="Married"/>
    <n v="2821"/>
    <n v="2997"/>
    <n v="3"/>
    <s v="Y"/>
    <x v="1"/>
    <n v="16"/>
    <n v="3"/>
    <n v="1"/>
    <n v="80"/>
    <n v="1"/>
    <n v="8"/>
    <n v="2"/>
    <x v="1"/>
    <x v="4"/>
    <n v="2"/>
    <n v="2"/>
    <n v="2"/>
  </r>
  <r>
    <n v="50"/>
    <x v="1"/>
    <s v="Travel_Rarely"/>
    <n v="1464"/>
    <x v="1"/>
    <n v="2"/>
    <n v="4"/>
    <s v="Medical"/>
    <n v="1"/>
    <n v="1061"/>
    <x v="0"/>
    <s v="Male"/>
    <n v="62"/>
    <n v="3"/>
    <n v="5"/>
    <x v="7"/>
    <x v="2"/>
    <s v="Married"/>
    <n v="19237"/>
    <n v="12853"/>
    <n v="2"/>
    <s v="Y"/>
    <x v="0"/>
    <n v="11"/>
    <n v="3"/>
    <n v="4"/>
    <n v="80"/>
    <n v="1"/>
    <n v="29"/>
    <n v="2"/>
    <x v="2"/>
    <x v="3"/>
    <n v="1"/>
    <n v="7"/>
    <n v="7"/>
  </r>
  <r>
    <n v="37"/>
    <x v="1"/>
    <s v="Travel_Rarely"/>
    <n v="124"/>
    <x v="1"/>
    <n v="3"/>
    <n v="3"/>
    <s v="Other"/>
    <n v="1"/>
    <n v="1062"/>
    <x v="2"/>
    <s v="Female"/>
    <n v="35"/>
    <n v="3"/>
    <n v="2"/>
    <x v="4"/>
    <x v="1"/>
    <s v="Single"/>
    <n v="4107"/>
    <n v="13848"/>
    <n v="3"/>
    <s v="Y"/>
    <x v="1"/>
    <n v="15"/>
    <n v="3"/>
    <n v="1"/>
    <n v="80"/>
    <n v="0"/>
    <n v="8"/>
    <n v="3"/>
    <x v="2"/>
    <x v="9"/>
    <n v="3"/>
    <n v="0"/>
    <n v="1"/>
  </r>
  <r>
    <n v="40"/>
    <x v="1"/>
    <s v="Travel_Rarely"/>
    <n v="300"/>
    <x v="0"/>
    <n v="26"/>
    <n v="3"/>
    <s v="Marketing"/>
    <n v="1"/>
    <n v="1066"/>
    <x v="1"/>
    <s v="Male"/>
    <n v="74"/>
    <n v="3"/>
    <n v="2"/>
    <x v="0"/>
    <x v="3"/>
    <s v="Married"/>
    <n v="8396"/>
    <n v="22217"/>
    <n v="1"/>
    <s v="Y"/>
    <x v="1"/>
    <n v="14"/>
    <n v="3"/>
    <n v="2"/>
    <n v="80"/>
    <n v="1"/>
    <n v="8"/>
    <n v="3"/>
    <x v="2"/>
    <x v="5"/>
    <n v="7"/>
    <n v="7"/>
    <n v="5"/>
  </r>
  <r>
    <n v="26"/>
    <x v="1"/>
    <s v="Travel_Frequently"/>
    <n v="921"/>
    <x v="1"/>
    <n v="1"/>
    <n v="1"/>
    <s v="Medical"/>
    <n v="1"/>
    <n v="1068"/>
    <x v="3"/>
    <s v="Female"/>
    <n v="66"/>
    <n v="2"/>
    <n v="1"/>
    <x v="1"/>
    <x v="2"/>
    <s v="Divorced"/>
    <n v="2007"/>
    <n v="25265"/>
    <n v="1"/>
    <s v="Y"/>
    <x v="1"/>
    <n v="13"/>
    <n v="3"/>
    <n v="3"/>
    <n v="80"/>
    <n v="2"/>
    <n v="5"/>
    <n v="5"/>
    <x v="1"/>
    <x v="8"/>
    <n v="3"/>
    <n v="1"/>
    <n v="3"/>
  </r>
  <r>
    <n v="46"/>
    <x v="1"/>
    <s v="Travel_Rarely"/>
    <n v="430"/>
    <x v="1"/>
    <n v="1"/>
    <n v="4"/>
    <s v="Medical"/>
    <n v="1"/>
    <n v="1069"/>
    <x v="2"/>
    <s v="Male"/>
    <n v="40"/>
    <n v="3"/>
    <n v="5"/>
    <x v="7"/>
    <x v="0"/>
    <s v="Divorced"/>
    <n v="19627"/>
    <n v="21445"/>
    <n v="9"/>
    <s v="Y"/>
    <x v="1"/>
    <n v="17"/>
    <n v="3"/>
    <n v="4"/>
    <n v="80"/>
    <n v="2"/>
    <n v="23"/>
    <n v="0"/>
    <x v="1"/>
    <x v="4"/>
    <n v="2"/>
    <n v="2"/>
    <n v="2"/>
  </r>
  <r>
    <n v="54"/>
    <x v="1"/>
    <s v="Travel_Rarely"/>
    <n v="1082"/>
    <x v="0"/>
    <n v="2"/>
    <n v="4"/>
    <s v="Life Sciences"/>
    <n v="1"/>
    <n v="1070"/>
    <x v="1"/>
    <s v="Female"/>
    <n v="41"/>
    <n v="2"/>
    <n v="3"/>
    <x v="0"/>
    <x v="2"/>
    <s v="Married"/>
    <n v="10686"/>
    <n v="8392"/>
    <n v="6"/>
    <s v="Y"/>
    <x v="1"/>
    <n v="11"/>
    <n v="3"/>
    <n v="2"/>
    <n v="80"/>
    <n v="1"/>
    <n v="13"/>
    <n v="4"/>
    <x v="1"/>
    <x v="7"/>
    <n v="4"/>
    <n v="7"/>
    <n v="0"/>
  </r>
  <r>
    <n v="56"/>
    <x v="1"/>
    <s v="Travel_Frequently"/>
    <n v="1240"/>
    <x v="1"/>
    <n v="9"/>
    <n v="3"/>
    <s v="Medical"/>
    <n v="1"/>
    <n v="1071"/>
    <x v="3"/>
    <s v="Female"/>
    <n v="63"/>
    <n v="3"/>
    <n v="1"/>
    <x v="1"/>
    <x v="2"/>
    <s v="Married"/>
    <n v="2942"/>
    <n v="12154"/>
    <n v="2"/>
    <s v="Y"/>
    <x v="1"/>
    <n v="19"/>
    <n v="3"/>
    <n v="2"/>
    <n v="80"/>
    <n v="1"/>
    <n v="18"/>
    <n v="4"/>
    <x v="1"/>
    <x v="8"/>
    <n v="4"/>
    <n v="0"/>
    <n v="3"/>
  </r>
  <r>
    <n v="36"/>
    <x v="1"/>
    <s v="Travel_Rarely"/>
    <n v="796"/>
    <x v="1"/>
    <n v="12"/>
    <n v="5"/>
    <s v="Medical"/>
    <n v="1"/>
    <n v="1073"/>
    <x v="2"/>
    <s v="Female"/>
    <n v="51"/>
    <n v="2"/>
    <n v="3"/>
    <x v="3"/>
    <x v="0"/>
    <s v="Single"/>
    <n v="8858"/>
    <n v="15669"/>
    <n v="0"/>
    <s v="Y"/>
    <x v="1"/>
    <n v="11"/>
    <n v="3"/>
    <n v="2"/>
    <n v="80"/>
    <n v="0"/>
    <n v="15"/>
    <n v="2"/>
    <x v="2"/>
    <x v="13"/>
    <n v="8"/>
    <n v="7"/>
    <n v="8"/>
  </r>
  <r>
    <n v="55"/>
    <x v="1"/>
    <s v="Non-Travel"/>
    <n v="444"/>
    <x v="1"/>
    <n v="2"/>
    <n v="1"/>
    <s v="Medical"/>
    <n v="1"/>
    <n v="1074"/>
    <x v="1"/>
    <s v="Male"/>
    <n v="40"/>
    <n v="2"/>
    <n v="4"/>
    <x v="5"/>
    <x v="3"/>
    <s v="Single"/>
    <n v="16756"/>
    <n v="17323"/>
    <n v="7"/>
    <s v="Y"/>
    <x v="1"/>
    <n v="15"/>
    <n v="3"/>
    <n v="2"/>
    <n v="80"/>
    <n v="0"/>
    <n v="31"/>
    <n v="3"/>
    <x v="3"/>
    <x v="7"/>
    <n v="7"/>
    <n v="6"/>
    <n v="2"/>
  </r>
  <r>
    <n v="43"/>
    <x v="1"/>
    <s v="Travel_Rarely"/>
    <n v="415"/>
    <x v="0"/>
    <n v="25"/>
    <n v="3"/>
    <s v="Medical"/>
    <n v="1"/>
    <n v="1076"/>
    <x v="1"/>
    <s v="Male"/>
    <n v="79"/>
    <n v="2"/>
    <n v="3"/>
    <x v="0"/>
    <x v="0"/>
    <s v="Divorced"/>
    <n v="10798"/>
    <n v="5268"/>
    <n v="5"/>
    <s v="Y"/>
    <x v="1"/>
    <n v="13"/>
    <n v="3"/>
    <n v="3"/>
    <n v="80"/>
    <n v="1"/>
    <n v="18"/>
    <n v="5"/>
    <x v="1"/>
    <x v="6"/>
    <n v="0"/>
    <n v="0"/>
    <n v="0"/>
  </r>
  <r>
    <n v="20"/>
    <x v="0"/>
    <s v="Travel_Frequently"/>
    <n v="769"/>
    <x v="0"/>
    <n v="9"/>
    <n v="3"/>
    <s v="Marketing"/>
    <n v="1"/>
    <n v="1077"/>
    <x v="2"/>
    <s v="Female"/>
    <n v="54"/>
    <n v="3"/>
    <n v="1"/>
    <x v="6"/>
    <x v="0"/>
    <s v="Single"/>
    <n v="2323"/>
    <n v="17205"/>
    <n v="1"/>
    <s v="Y"/>
    <x v="0"/>
    <n v="14"/>
    <n v="3"/>
    <n v="2"/>
    <n v="80"/>
    <n v="0"/>
    <n v="2"/>
    <n v="3"/>
    <x v="1"/>
    <x v="4"/>
    <n v="2"/>
    <n v="0"/>
    <n v="2"/>
  </r>
  <r>
    <n v="21"/>
    <x v="0"/>
    <s v="Travel_Rarely"/>
    <n v="1334"/>
    <x v="1"/>
    <n v="10"/>
    <n v="3"/>
    <s v="Life Sciences"/>
    <n v="1"/>
    <n v="1079"/>
    <x v="1"/>
    <s v="Female"/>
    <n v="36"/>
    <n v="2"/>
    <n v="1"/>
    <x v="2"/>
    <x v="3"/>
    <s v="Single"/>
    <n v="1416"/>
    <n v="17258"/>
    <n v="1"/>
    <s v="Y"/>
    <x v="1"/>
    <n v="13"/>
    <n v="3"/>
    <n v="1"/>
    <n v="80"/>
    <n v="0"/>
    <n v="1"/>
    <n v="6"/>
    <x v="2"/>
    <x v="6"/>
    <n v="0"/>
    <n v="1"/>
    <n v="0"/>
  </r>
  <r>
    <n v="46"/>
    <x v="1"/>
    <s v="Travel_Rarely"/>
    <n v="1003"/>
    <x v="1"/>
    <n v="8"/>
    <n v="4"/>
    <s v="Life Sciences"/>
    <n v="1"/>
    <n v="1080"/>
    <x v="2"/>
    <s v="Female"/>
    <n v="74"/>
    <n v="2"/>
    <n v="2"/>
    <x v="1"/>
    <x v="3"/>
    <s v="Divorced"/>
    <n v="4615"/>
    <n v="21029"/>
    <n v="8"/>
    <s v="Y"/>
    <x v="0"/>
    <n v="23"/>
    <n v="4"/>
    <n v="1"/>
    <n v="80"/>
    <n v="3"/>
    <n v="19"/>
    <n v="2"/>
    <x v="1"/>
    <x v="22"/>
    <n v="13"/>
    <n v="1"/>
    <n v="7"/>
  </r>
  <r>
    <n v="51"/>
    <x v="0"/>
    <s v="Travel_Rarely"/>
    <n v="1323"/>
    <x v="1"/>
    <n v="4"/>
    <n v="4"/>
    <s v="Life Sciences"/>
    <n v="1"/>
    <n v="1081"/>
    <x v="3"/>
    <s v="Male"/>
    <n v="34"/>
    <n v="3"/>
    <n v="1"/>
    <x v="1"/>
    <x v="2"/>
    <s v="Married"/>
    <n v="2461"/>
    <n v="10332"/>
    <n v="9"/>
    <s v="Y"/>
    <x v="0"/>
    <n v="12"/>
    <n v="3"/>
    <n v="3"/>
    <n v="80"/>
    <n v="3"/>
    <n v="18"/>
    <n v="2"/>
    <x v="3"/>
    <x v="1"/>
    <n v="0"/>
    <n v="2"/>
    <n v="7"/>
  </r>
  <r>
    <n v="28"/>
    <x v="0"/>
    <s v="Non-Travel"/>
    <n v="1366"/>
    <x v="1"/>
    <n v="24"/>
    <n v="2"/>
    <s v="Technical Degree"/>
    <n v="1"/>
    <n v="1082"/>
    <x v="0"/>
    <s v="Male"/>
    <n v="72"/>
    <n v="2"/>
    <n v="3"/>
    <x v="4"/>
    <x v="3"/>
    <s v="Single"/>
    <n v="8722"/>
    <n v="12355"/>
    <n v="1"/>
    <s v="Y"/>
    <x v="1"/>
    <n v="12"/>
    <n v="3"/>
    <n v="1"/>
    <n v="80"/>
    <n v="0"/>
    <n v="10"/>
    <n v="2"/>
    <x v="2"/>
    <x v="1"/>
    <n v="7"/>
    <n v="1"/>
    <n v="9"/>
  </r>
  <r>
    <n v="26"/>
    <x v="1"/>
    <s v="Travel_Rarely"/>
    <n v="192"/>
    <x v="1"/>
    <n v="1"/>
    <n v="2"/>
    <s v="Medical"/>
    <n v="1"/>
    <n v="1083"/>
    <x v="3"/>
    <s v="Male"/>
    <n v="59"/>
    <n v="2"/>
    <n v="1"/>
    <x v="2"/>
    <x v="3"/>
    <s v="Married"/>
    <n v="3955"/>
    <n v="11141"/>
    <n v="1"/>
    <s v="Y"/>
    <x v="1"/>
    <n v="16"/>
    <n v="3"/>
    <n v="1"/>
    <n v="80"/>
    <n v="2"/>
    <n v="6"/>
    <n v="2"/>
    <x v="1"/>
    <x v="8"/>
    <n v="3"/>
    <n v="1"/>
    <n v="3"/>
  </r>
  <r>
    <n v="30"/>
    <x v="1"/>
    <s v="Travel_Rarely"/>
    <n v="1176"/>
    <x v="1"/>
    <n v="20"/>
    <n v="3"/>
    <s v="Other"/>
    <n v="1"/>
    <n v="1084"/>
    <x v="1"/>
    <s v="Male"/>
    <n v="85"/>
    <n v="3"/>
    <n v="2"/>
    <x v="3"/>
    <x v="3"/>
    <s v="Married"/>
    <n v="9957"/>
    <n v="9096"/>
    <n v="0"/>
    <s v="Y"/>
    <x v="1"/>
    <n v="15"/>
    <n v="3"/>
    <n v="3"/>
    <n v="80"/>
    <n v="1"/>
    <n v="7"/>
    <n v="1"/>
    <x v="2"/>
    <x v="0"/>
    <n v="2"/>
    <n v="0"/>
    <n v="2"/>
  </r>
  <r>
    <n v="41"/>
    <x v="1"/>
    <s v="Travel_Rarely"/>
    <n v="509"/>
    <x v="1"/>
    <n v="7"/>
    <n v="2"/>
    <s v="Technical Degree"/>
    <n v="1"/>
    <n v="1085"/>
    <x v="0"/>
    <s v="Female"/>
    <n v="43"/>
    <n v="4"/>
    <n v="1"/>
    <x v="1"/>
    <x v="2"/>
    <s v="Married"/>
    <n v="3376"/>
    <n v="18863"/>
    <n v="1"/>
    <s v="Y"/>
    <x v="1"/>
    <n v="13"/>
    <n v="3"/>
    <n v="3"/>
    <n v="80"/>
    <n v="0"/>
    <n v="10"/>
    <n v="3"/>
    <x v="1"/>
    <x v="1"/>
    <n v="6"/>
    <n v="0"/>
    <n v="8"/>
  </r>
  <r>
    <n v="38"/>
    <x v="1"/>
    <s v="Travel_Rarely"/>
    <n v="330"/>
    <x v="1"/>
    <n v="17"/>
    <n v="1"/>
    <s v="Life Sciences"/>
    <n v="1"/>
    <n v="1088"/>
    <x v="1"/>
    <s v="Female"/>
    <n v="65"/>
    <n v="2"/>
    <n v="3"/>
    <x v="4"/>
    <x v="2"/>
    <s v="Married"/>
    <n v="8823"/>
    <n v="24608"/>
    <n v="0"/>
    <s v="Y"/>
    <x v="1"/>
    <n v="18"/>
    <n v="3"/>
    <n v="1"/>
    <n v="80"/>
    <n v="1"/>
    <n v="20"/>
    <n v="4"/>
    <x v="2"/>
    <x v="27"/>
    <n v="9"/>
    <n v="1"/>
    <n v="9"/>
  </r>
  <r>
    <n v="40"/>
    <x v="1"/>
    <s v="Travel_Rarely"/>
    <n v="1492"/>
    <x v="1"/>
    <n v="20"/>
    <n v="4"/>
    <s v="Technical Degree"/>
    <n v="1"/>
    <n v="1092"/>
    <x v="3"/>
    <s v="Male"/>
    <n v="61"/>
    <n v="3"/>
    <n v="3"/>
    <x v="4"/>
    <x v="0"/>
    <s v="Married"/>
    <n v="10322"/>
    <n v="26542"/>
    <n v="4"/>
    <s v="Y"/>
    <x v="1"/>
    <n v="20"/>
    <n v="4"/>
    <n v="4"/>
    <n v="80"/>
    <n v="1"/>
    <n v="14"/>
    <n v="6"/>
    <x v="1"/>
    <x v="19"/>
    <n v="10"/>
    <n v="11"/>
    <n v="1"/>
  </r>
  <r>
    <n v="27"/>
    <x v="1"/>
    <s v="Non-Travel"/>
    <n v="1277"/>
    <x v="1"/>
    <n v="8"/>
    <n v="5"/>
    <s v="Life Sciences"/>
    <n v="1"/>
    <n v="1094"/>
    <x v="3"/>
    <s v="Male"/>
    <n v="87"/>
    <n v="1"/>
    <n v="1"/>
    <x v="2"/>
    <x v="2"/>
    <s v="Married"/>
    <n v="4621"/>
    <n v="5869"/>
    <n v="1"/>
    <s v="Y"/>
    <x v="1"/>
    <n v="19"/>
    <n v="3"/>
    <n v="4"/>
    <n v="80"/>
    <n v="3"/>
    <n v="3"/>
    <n v="4"/>
    <x v="1"/>
    <x v="11"/>
    <n v="2"/>
    <n v="1"/>
    <n v="2"/>
  </r>
  <r>
    <n v="55"/>
    <x v="1"/>
    <s v="Travel_Frequently"/>
    <n v="1091"/>
    <x v="1"/>
    <n v="2"/>
    <n v="1"/>
    <s v="Life Sciences"/>
    <n v="1"/>
    <n v="1096"/>
    <x v="2"/>
    <s v="Male"/>
    <n v="65"/>
    <n v="3"/>
    <n v="3"/>
    <x v="3"/>
    <x v="1"/>
    <s v="Married"/>
    <n v="10976"/>
    <n v="15813"/>
    <n v="3"/>
    <s v="Y"/>
    <x v="1"/>
    <n v="18"/>
    <n v="3"/>
    <n v="2"/>
    <n v="80"/>
    <n v="1"/>
    <n v="23"/>
    <n v="4"/>
    <x v="1"/>
    <x v="11"/>
    <n v="2"/>
    <n v="1"/>
    <n v="2"/>
  </r>
  <r>
    <n v="28"/>
    <x v="1"/>
    <s v="Travel_Rarely"/>
    <n v="857"/>
    <x v="1"/>
    <n v="10"/>
    <n v="3"/>
    <s v="Other"/>
    <n v="1"/>
    <n v="1097"/>
    <x v="1"/>
    <s v="Female"/>
    <n v="59"/>
    <n v="3"/>
    <n v="2"/>
    <x v="1"/>
    <x v="2"/>
    <s v="Single"/>
    <n v="3660"/>
    <n v="7909"/>
    <n v="3"/>
    <s v="Y"/>
    <x v="1"/>
    <n v="13"/>
    <n v="3"/>
    <n v="4"/>
    <n v="80"/>
    <n v="0"/>
    <n v="10"/>
    <n v="4"/>
    <x v="3"/>
    <x v="3"/>
    <n v="7"/>
    <n v="1"/>
    <n v="7"/>
  </r>
  <r>
    <n v="44"/>
    <x v="0"/>
    <s v="Travel_Rarely"/>
    <n v="1376"/>
    <x v="2"/>
    <n v="1"/>
    <n v="2"/>
    <s v="Medical"/>
    <n v="1"/>
    <n v="1098"/>
    <x v="0"/>
    <s v="Male"/>
    <n v="91"/>
    <n v="2"/>
    <n v="3"/>
    <x v="8"/>
    <x v="3"/>
    <s v="Married"/>
    <n v="10482"/>
    <n v="2326"/>
    <n v="9"/>
    <s v="Y"/>
    <x v="1"/>
    <n v="14"/>
    <n v="3"/>
    <n v="4"/>
    <n v="80"/>
    <n v="1"/>
    <n v="24"/>
    <n v="1"/>
    <x v="1"/>
    <x v="23"/>
    <n v="6"/>
    <n v="3"/>
    <n v="6"/>
  </r>
  <r>
    <n v="33"/>
    <x v="1"/>
    <s v="Travel_Rarely"/>
    <n v="654"/>
    <x v="1"/>
    <n v="5"/>
    <n v="3"/>
    <s v="Life Sciences"/>
    <n v="1"/>
    <n v="1099"/>
    <x v="2"/>
    <s v="Male"/>
    <n v="34"/>
    <n v="2"/>
    <n v="3"/>
    <x v="4"/>
    <x v="0"/>
    <s v="Divorced"/>
    <n v="7119"/>
    <n v="21214"/>
    <n v="4"/>
    <s v="Y"/>
    <x v="1"/>
    <n v="15"/>
    <n v="3"/>
    <n v="3"/>
    <n v="80"/>
    <n v="1"/>
    <n v="9"/>
    <n v="2"/>
    <x v="1"/>
    <x v="11"/>
    <n v="2"/>
    <n v="1"/>
    <n v="2"/>
  </r>
  <r>
    <n v="35"/>
    <x v="0"/>
    <s v="Travel_Rarely"/>
    <n v="1204"/>
    <x v="0"/>
    <n v="4"/>
    <n v="3"/>
    <s v="Technical Degree"/>
    <n v="1"/>
    <n v="1100"/>
    <x v="2"/>
    <s v="Male"/>
    <n v="86"/>
    <n v="3"/>
    <n v="3"/>
    <x v="0"/>
    <x v="3"/>
    <s v="Single"/>
    <n v="9582"/>
    <n v="10333"/>
    <n v="0"/>
    <s v="Y"/>
    <x v="0"/>
    <n v="22"/>
    <n v="4"/>
    <n v="1"/>
    <n v="80"/>
    <n v="0"/>
    <n v="9"/>
    <n v="2"/>
    <x v="1"/>
    <x v="3"/>
    <n v="7"/>
    <n v="4"/>
    <n v="7"/>
  </r>
  <r>
    <n v="33"/>
    <x v="0"/>
    <s v="Travel_Frequently"/>
    <n v="827"/>
    <x v="1"/>
    <n v="29"/>
    <n v="4"/>
    <s v="Medical"/>
    <n v="1"/>
    <n v="1101"/>
    <x v="3"/>
    <s v="Female"/>
    <n v="54"/>
    <n v="2"/>
    <n v="2"/>
    <x v="1"/>
    <x v="2"/>
    <s v="Single"/>
    <n v="4508"/>
    <n v="3129"/>
    <n v="1"/>
    <s v="Y"/>
    <x v="1"/>
    <n v="22"/>
    <n v="4"/>
    <n v="2"/>
    <n v="80"/>
    <n v="0"/>
    <n v="14"/>
    <n v="4"/>
    <x v="1"/>
    <x v="20"/>
    <n v="7"/>
    <n v="3"/>
    <n v="8"/>
  </r>
  <r>
    <n v="28"/>
    <x v="1"/>
    <s v="Travel_Rarely"/>
    <n v="895"/>
    <x v="1"/>
    <n v="15"/>
    <n v="2"/>
    <s v="Life Sciences"/>
    <n v="1"/>
    <n v="1102"/>
    <x v="3"/>
    <s v="Male"/>
    <n v="50"/>
    <n v="3"/>
    <n v="1"/>
    <x v="2"/>
    <x v="2"/>
    <s v="Divorced"/>
    <n v="2207"/>
    <n v="22482"/>
    <n v="1"/>
    <s v="Y"/>
    <x v="1"/>
    <n v="16"/>
    <n v="3"/>
    <n v="4"/>
    <n v="80"/>
    <n v="1"/>
    <n v="4"/>
    <n v="5"/>
    <x v="2"/>
    <x v="9"/>
    <n v="2"/>
    <n v="2"/>
    <n v="2"/>
  </r>
  <r>
    <n v="34"/>
    <x v="1"/>
    <s v="Travel_Frequently"/>
    <n v="618"/>
    <x v="1"/>
    <n v="3"/>
    <n v="1"/>
    <s v="Life Sciences"/>
    <n v="1"/>
    <n v="1103"/>
    <x v="3"/>
    <s v="Male"/>
    <n v="45"/>
    <n v="3"/>
    <n v="2"/>
    <x v="4"/>
    <x v="0"/>
    <s v="Single"/>
    <n v="7756"/>
    <n v="22266"/>
    <n v="0"/>
    <s v="Y"/>
    <x v="1"/>
    <n v="17"/>
    <n v="3"/>
    <n v="3"/>
    <n v="80"/>
    <n v="0"/>
    <n v="7"/>
    <n v="1"/>
    <x v="2"/>
    <x v="0"/>
    <n v="2"/>
    <n v="0"/>
    <n v="4"/>
  </r>
  <r>
    <n v="37"/>
    <x v="1"/>
    <s v="Travel_Rarely"/>
    <n v="309"/>
    <x v="0"/>
    <n v="10"/>
    <n v="4"/>
    <s v="Life Sciences"/>
    <n v="1"/>
    <n v="1105"/>
    <x v="2"/>
    <s v="Female"/>
    <n v="88"/>
    <n v="2"/>
    <n v="2"/>
    <x v="0"/>
    <x v="0"/>
    <s v="Divorced"/>
    <n v="6694"/>
    <n v="24223"/>
    <n v="2"/>
    <s v="Y"/>
    <x v="0"/>
    <n v="14"/>
    <n v="3"/>
    <n v="3"/>
    <n v="80"/>
    <n v="3"/>
    <n v="8"/>
    <n v="5"/>
    <x v="1"/>
    <x v="6"/>
    <n v="0"/>
    <n v="0"/>
    <n v="0"/>
  </r>
  <r>
    <n v="25"/>
    <x v="0"/>
    <s v="Travel_Rarely"/>
    <n v="1219"/>
    <x v="1"/>
    <n v="4"/>
    <n v="1"/>
    <s v="Technical Degree"/>
    <n v="1"/>
    <n v="1106"/>
    <x v="2"/>
    <s v="Male"/>
    <n v="32"/>
    <n v="3"/>
    <n v="1"/>
    <x v="2"/>
    <x v="0"/>
    <s v="Married"/>
    <n v="3691"/>
    <n v="4605"/>
    <n v="1"/>
    <s v="Y"/>
    <x v="0"/>
    <n v="15"/>
    <n v="3"/>
    <n v="2"/>
    <n v="80"/>
    <n v="1"/>
    <n v="7"/>
    <n v="3"/>
    <x v="3"/>
    <x v="5"/>
    <n v="7"/>
    <n v="5"/>
    <n v="6"/>
  </r>
  <r>
    <n v="26"/>
    <x v="0"/>
    <s v="Travel_Rarely"/>
    <n v="1330"/>
    <x v="1"/>
    <n v="21"/>
    <n v="3"/>
    <s v="Medical"/>
    <n v="1"/>
    <n v="1107"/>
    <x v="3"/>
    <s v="Male"/>
    <n v="37"/>
    <n v="3"/>
    <n v="1"/>
    <x v="2"/>
    <x v="2"/>
    <s v="Divorced"/>
    <n v="2377"/>
    <n v="19373"/>
    <n v="1"/>
    <s v="Y"/>
    <x v="1"/>
    <n v="20"/>
    <n v="4"/>
    <n v="3"/>
    <n v="80"/>
    <n v="1"/>
    <n v="1"/>
    <n v="0"/>
    <x v="2"/>
    <x v="6"/>
    <n v="1"/>
    <n v="0"/>
    <n v="0"/>
  </r>
  <r>
    <n v="33"/>
    <x v="0"/>
    <s v="Travel_Rarely"/>
    <n v="1017"/>
    <x v="1"/>
    <n v="25"/>
    <n v="3"/>
    <s v="Medical"/>
    <n v="1"/>
    <n v="1108"/>
    <x v="3"/>
    <s v="Male"/>
    <n v="55"/>
    <n v="2"/>
    <n v="1"/>
    <x v="1"/>
    <x v="1"/>
    <s v="Single"/>
    <n v="2313"/>
    <n v="2993"/>
    <n v="4"/>
    <s v="Y"/>
    <x v="0"/>
    <n v="20"/>
    <n v="4"/>
    <n v="2"/>
    <n v="80"/>
    <n v="0"/>
    <n v="5"/>
    <n v="0"/>
    <x v="1"/>
    <x v="4"/>
    <n v="2"/>
    <n v="2"/>
    <n v="2"/>
  </r>
  <r>
    <n v="42"/>
    <x v="1"/>
    <s v="Travel_Rarely"/>
    <n v="469"/>
    <x v="1"/>
    <n v="2"/>
    <n v="2"/>
    <s v="Medical"/>
    <n v="1"/>
    <n v="1109"/>
    <x v="2"/>
    <s v="Male"/>
    <n v="35"/>
    <n v="3"/>
    <n v="4"/>
    <x v="5"/>
    <x v="3"/>
    <s v="Married"/>
    <n v="17665"/>
    <n v="14399"/>
    <n v="0"/>
    <s v="Y"/>
    <x v="1"/>
    <n v="17"/>
    <n v="3"/>
    <n v="4"/>
    <n v="80"/>
    <n v="1"/>
    <n v="23"/>
    <n v="3"/>
    <x v="1"/>
    <x v="14"/>
    <n v="6"/>
    <n v="13"/>
    <n v="7"/>
  </r>
  <r>
    <n v="28"/>
    <x v="0"/>
    <s v="Travel_Frequently"/>
    <n v="1009"/>
    <x v="1"/>
    <n v="1"/>
    <n v="3"/>
    <s v="Medical"/>
    <n v="1"/>
    <n v="1111"/>
    <x v="3"/>
    <s v="Male"/>
    <n v="45"/>
    <n v="2"/>
    <n v="1"/>
    <x v="2"/>
    <x v="1"/>
    <s v="Divorced"/>
    <n v="2596"/>
    <n v="7160"/>
    <n v="1"/>
    <s v="Y"/>
    <x v="1"/>
    <n v="15"/>
    <n v="3"/>
    <n v="1"/>
    <n v="80"/>
    <n v="2"/>
    <n v="1"/>
    <n v="2"/>
    <x v="1"/>
    <x v="6"/>
    <n v="0"/>
    <n v="0"/>
    <n v="0"/>
  </r>
  <r>
    <n v="50"/>
    <x v="0"/>
    <s v="Travel_Frequently"/>
    <n v="959"/>
    <x v="0"/>
    <n v="1"/>
    <n v="4"/>
    <s v="Other"/>
    <n v="1"/>
    <n v="1113"/>
    <x v="2"/>
    <s v="Male"/>
    <n v="81"/>
    <n v="3"/>
    <n v="2"/>
    <x v="0"/>
    <x v="2"/>
    <s v="Single"/>
    <n v="4728"/>
    <n v="17251"/>
    <n v="3"/>
    <s v="Y"/>
    <x v="0"/>
    <n v="14"/>
    <n v="3"/>
    <n v="4"/>
    <n v="80"/>
    <n v="0"/>
    <n v="5"/>
    <n v="4"/>
    <x v="1"/>
    <x v="2"/>
    <n v="0"/>
    <n v="0"/>
    <n v="0"/>
  </r>
  <r>
    <n v="33"/>
    <x v="1"/>
    <s v="Travel_Frequently"/>
    <n v="970"/>
    <x v="0"/>
    <n v="7"/>
    <n v="3"/>
    <s v="Life Sciences"/>
    <n v="1"/>
    <n v="1114"/>
    <x v="2"/>
    <s v="Female"/>
    <n v="30"/>
    <n v="3"/>
    <n v="2"/>
    <x v="0"/>
    <x v="1"/>
    <s v="Married"/>
    <n v="4302"/>
    <n v="13401"/>
    <n v="0"/>
    <s v="Y"/>
    <x v="1"/>
    <n v="17"/>
    <n v="3"/>
    <n v="3"/>
    <n v="80"/>
    <n v="1"/>
    <n v="4"/>
    <n v="3"/>
    <x v="1"/>
    <x v="11"/>
    <n v="2"/>
    <n v="0"/>
    <n v="2"/>
  </r>
  <r>
    <n v="34"/>
    <x v="1"/>
    <s v="Non-Travel"/>
    <n v="697"/>
    <x v="1"/>
    <n v="3"/>
    <n v="4"/>
    <s v="Life Sciences"/>
    <n v="1"/>
    <n v="1115"/>
    <x v="1"/>
    <s v="Male"/>
    <n v="40"/>
    <n v="2"/>
    <n v="1"/>
    <x v="1"/>
    <x v="0"/>
    <s v="Married"/>
    <n v="2979"/>
    <n v="22478"/>
    <n v="3"/>
    <s v="Y"/>
    <x v="1"/>
    <n v="17"/>
    <n v="3"/>
    <n v="4"/>
    <n v="80"/>
    <n v="3"/>
    <n v="6"/>
    <n v="2"/>
    <x v="1"/>
    <x v="2"/>
    <n v="0"/>
    <n v="0"/>
    <n v="0"/>
  </r>
  <r>
    <n v="48"/>
    <x v="1"/>
    <s v="Non-Travel"/>
    <n v="1262"/>
    <x v="1"/>
    <n v="1"/>
    <n v="4"/>
    <s v="Medical"/>
    <n v="1"/>
    <n v="1116"/>
    <x v="3"/>
    <s v="Male"/>
    <n v="35"/>
    <n v="4"/>
    <n v="4"/>
    <x v="5"/>
    <x v="0"/>
    <s v="Single"/>
    <n v="16885"/>
    <n v="16154"/>
    <n v="2"/>
    <s v="Y"/>
    <x v="1"/>
    <n v="22"/>
    <n v="4"/>
    <n v="3"/>
    <n v="80"/>
    <n v="0"/>
    <n v="27"/>
    <n v="3"/>
    <x v="2"/>
    <x v="8"/>
    <n v="4"/>
    <n v="2"/>
    <n v="1"/>
  </r>
  <r>
    <n v="45"/>
    <x v="1"/>
    <s v="Non-Travel"/>
    <n v="1050"/>
    <x v="0"/>
    <n v="9"/>
    <n v="4"/>
    <s v="Life Sciences"/>
    <n v="1"/>
    <n v="1117"/>
    <x v="0"/>
    <s v="Female"/>
    <n v="65"/>
    <n v="2"/>
    <n v="2"/>
    <x v="0"/>
    <x v="2"/>
    <s v="Married"/>
    <n v="5593"/>
    <n v="17970"/>
    <n v="1"/>
    <s v="Y"/>
    <x v="1"/>
    <n v="13"/>
    <n v="3"/>
    <n v="4"/>
    <n v="80"/>
    <n v="1"/>
    <n v="15"/>
    <n v="2"/>
    <x v="1"/>
    <x v="15"/>
    <n v="10"/>
    <n v="4"/>
    <n v="12"/>
  </r>
  <r>
    <n v="52"/>
    <x v="1"/>
    <s v="Travel_Rarely"/>
    <n v="994"/>
    <x v="1"/>
    <n v="7"/>
    <n v="4"/>
    <s v="Life Sciences"/>
    <n v="1"/>
    <n v="1118"/>
    <x v="0"/>
    <s v="Male"/>
    <n v="87"/>
    <n v="3"/>
    <n v="3"/>
    <x v="4"/>
    <x v="1"/>
    <s v="Single"/>
    <n v="10445"/>
    <n v="15322"/>
    <n v="7"/>
    <s v="Y"/>
    <x v="1"/>
    <n v="19"/>
    <n v="3"/>
    <n v="4"/>
    <n v="80"/>
    <n v="0"/>
    <n v="18"/>
    <n v="4"/>
    <x v="1"/>
    <x v="3"/>
    <n v="6"/>
    <n v="4"/>
    <n v="0"/>
  </r>
  <r>
    <n v="38"/>
    <x v="1"/>
    <s v="Travel_Rarely"/>
    <n v="770"/>
    <x v="0"/>
    <n v="10"/>
    <n v="4"/>
    <s v="Marketing"/>
    <n v="1"/>
    <n v="1119"/>
    <x v="1"/>
    <s v="Male"/>
    <n v="73"/>
    <n v="2"/>
    <n v="3"/>
    <x v="0"/>
    <x v="2"/>
    <s v="Divorced"/>
    <n v="8740"/>
    <n v="5569"/>
    <n v="0"/>
    <s v="Y"/>
    <x v="0"/>
    <n v="14"/>
    <n v="3"/>
    <n v="2"/>
    <n v="80"/>
    <n v="2"/>
    <n v="9"/>
    <n v="2"/>
    <x v="1"/>
    <x v="3"/>
    <n v="7"/>
    <n v="2"/>
    <n v="7"/>
  </r>
  <r>
    <n v="29"/>
    <x v="1"/>
    <s v="Travel_Rarely"/>
    <n v="1107"/>
    <x v="1"/>
    <n v="28"/>
    <n v="4"/>
    <s v="Life Sciences"/>
    <n v="1"/>
    <n v="1120"/>
    <x v="1"/>
    <s v="Female"/>
    <n v="93"/>
    <n v="3"/>
    <n v="1"/>
    <x v="1"/>
    <x v="0"/>
    <s v="Divorced"/>
    <n v="2514"/>
    <n v="26968"/>
    <n v="4"/>
    <s v="Y"/>
    <x v="1"/>
    <n v="22"/>
    <n v="4"/>
    <n v="1"/>
    <n v="80"/>
    <n v="1"/>
    <n v="11"/>
    <n v="1"/>
    <x v="1"/>
    <x v="5"/>
    <n v="5"/>
    <n v="1"/>
    <n v="7"/>
  </r>
  <r>
    <n v="28"/>
    <x v="1"/>
    <s v="Travel_Rarely"/>
    <n v="950"/>
    <x v="1"/>
    <n v="3"/>
    <n v="3"/>
    <s v="Medical"/>
    <n v="1"/>
    <n v="1121"/>
    <x v="2"/>
    <s v="Female"/>
    <n v="93"/>
    <n v="3"/>
    <n v="3"/>
    <x v="3"/>
    <x v="1"/>
    <s v="Divorced"/>
    <n v="7655"/>
    <n v="8039"/>
    <n v="0"/>
    <s v="Y"/>
    <x v="1"/>
    <n v="17"/>
    <n v="3"/>
    <n v="2"/>
    <n v="80"/>
    <n v="3"/>
    <n v="10"/>
    <n v="3"/>
    <x v="2"/>
    <x v="7"/>
    <n v="7"/>
    <n v="1"/>
    <n v="7"/>
  </r>
  <r>
    <n v="46"/>
    <x v="1"/>
    <s v="Travel_Rarely"/>
    <n v="406"/>
    <x v="0"/>
    <n v="3"/>
    <n v="1"/>
    <s v="Marketing"/>
    <n v="1"/>
    <n v="1124"/>
    <x v="3"/>
    <s v="Male"/>
    <n v="52"/>
    <n v="3"/>
    <n v="4"/>
    <x v="5"/>
    <x v="2"/>
    <s v="Married"/>
    <n v="17465"/>
    <n v="15596"/>
    <n v="3"/>
    <s v="Y"/>
    <x v="1"/>
    <n v="12"/>
    <n v="3"/>
    <n v="4"/>
    <n v="80"/>
    <n v="1"/>
    <n v="23"/>
    <n v="3"/>
    <x v="1"/>
    <x v="12"/>
    <n v="9"/>
    <n v="4"/>
    <n v="9"/>
  </r>
  <r>
    <n v="38"/>
    <x v="1"/>
    <s v="Travel_Rarely"/>
    <n v="130"/>
    <x v="0"/>
    <n v="2"/>
    <n v="2"/>
    <s v="Marketing"/>
    <n v="1"/>
    <n v="1125"/>
    <x v="2"/>
    <s v="Male"/>
    <n v="32"/>
    <n v="3"/>
    <n v="3"/>
    <x v="0"/>
    <x v="1"/>
    <s v="Single"/>
    <n v="7351"/>
    <n v="20619"/>
    <n v="7"/>
    <s v="Y"/>
    <x v="1"/>
    <n v="16"/>
    <n v="3"/>
    <n v="3"/>
    <n v="80"/>
    <n v="0"/>
    <n v="10"/>
    <n v="2"/>
    <x v="1"/>
    <x v="6"/>
    <n v="0"/>
    <n v="0"/>
    <n v="0"/>
  </r>
  <r>
    <n v="43"/>
    <x v="1"/>
    <s v="Travel_Frequently"/>
    <n v="1082"/>
    <x v="1"/>
    <n v="27"/>
    <n v="3"/>
    <s v="Life Sciences"/>
    <n v="1"/>
    <n v="1126"/>
    <x v="1"/>
    <s v="Female"/>
    <n v="83"/>
    <n v="3"/>
    <n v="3"/>
    <x v="3"/>
    <x v="3"/>
    <s v="Married"/>
    <n v="10820"/>
    <n v="11535"/>
    <n v="8"/>
    <s v="Y"/>
    <x v="1"/>
    <n v="11"/>
    <n v="3"/>
    <n v="3"/>
    <n v="80"/>
    <n v="1"/>
    <n v="18"/>
    <n v="1"/>
    <x v="1"/>
    <x v="3"/>
    <n v="7"/>
    <n v="0"/>
    <n v="1"/>
  </r>
  <r>
    <n v="39"/>
    <x v="0"/>
    <s v="Travel_Frequently"/>
    <n v="203"/>
    <x v="1"/>
    <n v="2"/>
    <n v="3"/>
    <s v="Life Sciences"/>
    <n v="1"/>
    <n v="1127"/>
    <x v="3"/>
    <s v="Male"/>
    <n v="84"/>
    <n v="3"/>
    <n v="4"/>
    <x v="4"/>
    <x v="0"/>
    <s v="Divorced"/>
    <n v="12169"/>
    <n v="13547"/>
    <n v="7"/>
    <s v="Y"/>
    <x v="1"/>
    <n v="11"/>
    <n v="3"/>
    <n v="4"/>
    <n v="80"/>
    <n v="3"/>
    <n v="21"/>
    <n v="4"/>
    <x v="1"/>
    <x v="29"/>
    <n v="7"/>
    <n v="11"/>
    <n v="5"/>
  </r>
  <r>
    <n v="40"/>
    <x v="1"/>
    <s v="Travel_Rarely"/>
    <n v="1308"/>
    <x v="1"/>
    <n v="14"/>
    <n v="3"/>
    <s v="Medical"/>
    <n v="1"/>
    <n v="1128"/>
    <x v="1"/>
    <s v="Male"/>
    <n v="44"/>
    <n v="2"/>
    <n v="5"/>
    <x v="7"/>
    <x v="2"/>
    <s v="Single"/>
    <n v="19626"/>
    <n v="17544"/>
    <n v="1"/>
    <s v="Y"/>
    <x v="1"/>
    <n v="14"/>
    <n v="3"/>
    <n v="1"/>
    <n v="80"/>
    <n v="0"/>
    <n v="21"/>
    <n v="2"/>
    <x v="3"/>
    <x v="23"/>
    <n v="7"/>
    <n v="4"/>
    <n v="9"/>
  </r>
  <r>
    <n v="21"/>
    <x v="1"/>
    <s v="Travel_Rarely"/>
    <n v="984"/>
    <x v="1"/>
    <n v="1"/>
    <n v="1"/>
    <s v="Technical Degree"/>
    <n v="1"/>
    <n v="1131"/>
    <x v="2"/>
    <s v="Female"/>
    <n v="70"/>
    <n v="2"/>
    <n v="1"/>
    <x v="1"/>
    <x v="1"/>
    <s v="Single"/>
    <n v="2070"/>
    <n v="25326"/>
    <n v="1"/>
    <s v="Y"/>
    <x v="0"/>
    <n v="11"/>
    <n v="3"/>
    <n v="3"/>
    <n v="80"/>
    <n v="0"/>
    <n v="2"/>
    <n v="6"/>
    <x v="3"/>
    <x v="4"/>
    <n v="2"/>
    <n v="2"/>
    <n v="2"/>
  </r>
  <r>
    <n v="39"/>
    <x v="1"/>
    <s v="Non-Travel"/>
    <n v="439"/>
    <x v="1"/>
    <n v="9"/>
    <n v="3"/>
    <s v="Life Sciences"/>
    <n v="1"/>
    <n v="1132"/>
    <x v="1"/>
    <s v="Male"/>
    <n v="70"/>
    <n v="3"/>
    <n v="2"/>
    <x v="2"/>
    <x v="1"/>
    <s v="Single"/>
    <n v="6782"/>
    <n v="8770"/>
    <n v="9"/>
    <s v="Y"/>
    <x v="1"/>
    <n v="15"/>
    <n v="3"/>
    <n v="3"/>
    <n v="80"/>
    <n v="0"/>
    <n v="9"/>
    <n v="2"/>
    <x v="2"/>
    <x v="8"/>
    <n v="4"/>
    <n v="0"/>
    <n v="3"/>
  </r>
  <r>
    <n v="36"/>
    <x v="1"/>
    <s v="Non-Travel"/>
    <n v="217"/>
    <x v="1"/>
    <n v="18"/>
    <n v="4"/>
    <s v="Life Sciences"/>
    <n v="1"/>
    <n v="1133"/>
    <x v="3"/>
    <s v="Male"/>
    <n v="78"/>
    <n v="3"/>
    <n v="2"/>
    <x v="3"/>
    <x v="0"/>
    <s v="Single"/>
    <n v="7779"/>
    <n v="23238"/>
    <n v="2"/>
    <s v="Y"/>
    <x v="1"/>
    <n v="20"/>
    <n v="4"/>
    <n v="1"/>
    <n v="80"/>
    <n v="0"/>
    <n v="18"/>
    <n v="0"/>
    <x v="1"/>
    <x v="19"/>
    <n v="9"/>
    <n v="0"/>
    <n v="9"/>
  </r>
  <r>
    <n v="31"/>
    <x v="1"/>
    <s v="Travel_Frequently"/>
    <n v="793"/>
    <x v="0"/>
    <n v="20"/>
    <n v="3"/>
    <s v="Life Sciences"/>
    <n v="1"/>
    <n v="1135"/>
    <x v="1"/>
    <s v="Male"/>
    <n v="67"/>
    <n v="4"/>
    <n v="1"/>
    <x v="6"/>
    <x v="0"/>
    <s v="Married"/>
    <n v="2791"/>
    <n v="21981"/>
    <n v="0"/>
    <s v="Y"/>
    <x v="1"/>
    <n v="12"/>
    <n v="3"/>
    <n v="1"/>
    <n v="80"/>
    <n v="1"/>
    <n v="3"/>
    <n v="4"/>
    <x v="1"/>
    <x v="4"/>
    <n v="2"/>
    <n v="2"/>
    <n v="2"/>
  </r>
  <r>
    <n v="28"/>
    <x v="1"/>
    <s v="Travel_Rarely"/>
    <n v="1451"/>
    <x v="1"/>
    <n v="2"/>
    <n v="1"/>
    <s v="Life Sciences"/>
    <n v="1"/>
    <n v="1136"/>
    <x v="3"/>
    <s v="Male"/>
    <n v="67"/>
    <n v="2"/>
    <n v="1"/>
    <x v="1"/>
    <x v="1"/>
    <s v="Married"/>
    <n v="3201"/>
    <n v="19911"/>
    <n v="0"/>
    <s v="Y"/>
    <x v="1"/>
    <n v="17"/>
    <n v="3"/>
    <n v="1"/>
    <n v="80"/>
    <n v="0"/>
    <n v="6"/>
    <n v="2"/>
    <x v="0"/>
    <x v="8"/>
    <n v="3"/>
    <n v="0"/>
    <n v="4"/>
  </r>
  <r>
    <n v="35"/>
    <x v="1"/>
    <s v="Travel_Frequently"/>
    <n v="1182"/>
    <x v="0"/>
    <n v="11"/>
    <n v="2"/>
    <s v="Marketing"/>
    <n v="1"/>
    <n v="1137"/>
    <x v="2"/>
    <s v="Male"/>
    <n v="54"/>
    <n v="3"/>
    <n v="2"/>
    <x v="0"/>
    <x v="0"/>
    <s v="Divorced"/>
    <n v="4968"/>
    <n v="18500"/>
    <n v="1"/>
    <s v="Y"/>
    <x v="1"/>
    <n v="11"/>
    <n v="3"/>
    <n v="4"/>
    <n v="80"/>
    <n v="1"/>
    <n v="5"/>
    <n v="3"/>
    <x v="1"/>
    <x v="8"/>
    <n v="2"/>
    <n v="0"/>
    <n v="2"/>
  </r>
  <r>
    <n v="49"/>
    <x v="1"/>
    <s v="Travel_Rarely"/>
    <n v="174"/>
    <x v="0"/>
    <n v="8"/>
    <n v="4"/>
    <s v="Technical Degree"/>
    <n v="1"/>
    <n v="1138"/>
    <x v="2"/>
    <s v="Male"/>
    <n v="56"/>
    <n v="2"/>
    <n v="4"/>
    <x v="0"/>
    <x v="1"/>
    <s v="Married"/>
    <n v="13120"/>
    <n v="11879"/>
    <n v="6"/>
    <s v="Y"/>
    <x v="1"/>
    <n v="17"/>
    <n v="3"/>
    <n v="2"/>
    <n v="80"/>
    <n v="1"/>
    <n v="22"/>
    <n v="3"/>
    <x v="1"/>
    <x v="7"/>
    <n v="8"/>
    <n v="2"/>
    <n v="3"/>
  </r>
  <r>
    <n v="34"/>
    <x v="1"/>
    <s v="Travel_Frequently"/>
    <n v="1003"/>
    <x v="1"/>
    <n v="2"/>
    <n v="2"/>
    <s v="Life Sciences"/>
    <n v="1"/>
    <n v="1140"/>
    <x v="2"/>
    <s v="Male"/>
    <n v="95"/>
    <n v="3"/>
    <n v="2"/>
    <x v="3"/>
    <x v="2"/>
    <s v="Single"/>
    <n v="4033"/>
    <n v="15834"/>
    <n v="2"/>
    <s v="Y"/>
    <x v="1"/>
    <n v="11"/>
    <n v="3"/>
    <n v="4"/>
    <n v="80"/>
    <n v="0"/>
    <n v="5"/>
    <n v="3"/>
    <x v="2"/>
    <x v="11"/>
    <n v="2"/>
    <n v="0"/>
    <n v="2"/>
  </r>
  <r>
    <n v="29"/>
    <x v="1"/>
    <s v="Travel_Frequently"/>
    <n v="490"/>
    <x v="1"/>
    <n v="10"/>
    <n v="3"/>
    <s v="Life Sciences"/>
    <n v="1"/>
    <n v="1143"/>
    <x v="2"/>
    <s v="Female"/>
    <n v="61"/>
    <n v="3"/>
    <n v="1"/>
    <x v="1"/>
    <x v="1"/>
    <s v="Divorced"/>
    <n v="3291"/>
    <n v="17940"/>
    <n v="0"/>
    <s v="Y"/>
    <x v="1"/>
    <n v="14"/>
    <n v="3"/>
    <n v="4"/>
    <n v="80"/>
    <n v="2"/>
    <n v="8"/>
    <n v="2"/>
    <x v="2"/>
    <x v="5"/>
    <n v="5"/>
    <n v="1"/>
    <n v="1"/>
  </r>
  <r>
    <n v="42"/>
    <x v="1"/>
    <s v="Travel_Rarely"/>
    <n v="188"/>
    <x v="1"/>
    <n v="29"/>
    <n v="3"/>
    <s v="Medical"/>
    <n v="1"/>
    <n v="1148"/>
    <x v="0"/>
    <s v="Male"/>
    <n v="56"/>
    <n v="1"/>
    <n v="2"/>
    <x v="2"/>
    <x v="0"/>
    <s v="Single"/>
    <n v="4272"/>
    <n v="9558"/>
    <n v="4"/>
    <s v="Y"/>
    <x v="1"/>
    <n v="19"/>
    <n v="3"/>
    <n v="1"/>
    <n v="80"/>
    <n v="0"/>
    <n v="16"/>
    <n v="3"/>
    <x v="1"/>
    <x v="6"/>
    <n v="0"/>
    <n v="0"/>
    <n v="0"/>
  </r>
  <r>
    <n v="29"/>
    <x v="1"/>
    <s v="Travel_Rarely"/>
    <n v="718"/>
    <x v="1"/>
    <n v="8"/>
    <n v="1"/>
    <s v="Medical"/>
    <n v="1"/>
    <n v="1150"/>
    <x v="0"/>
    <s v="Male"/>
    <n v="79"/>
    <n v="2"/>
    <n v="2"/>
    <x v="3"/>
    <x v="0"/>
    <s v="Married"/>
    <n v="5056"/>
    <n v="17689"/>
    <n v="1"/>
    <s v="Y"/>
    <x v="0"/>
    <n v="15"/>
    <n v="3"/>
    <n v="3"/>
    <n v="80"/>
    <n v="1"/>
    <n v="10"/>
    <n v="2"/>
    <x v="2"/>
    <x v="1"/>
    <n v="7"/>
    <n v="1"/>
    <n v="2"/>
  </r>
  <r>
    <n v="38"/>
    <x v="1"/>
    <s v="Travel_Rarely"/>
    <n v="433"/>
    <x v="2"/>
    <n v="1"/>
    <n v="3"/>
    <s v="Human Resources"/>
    <n v="1"/>
    <n v="1152"/>
    <x v="1"/>
    <s v="Male"/>
    <n v="37"/>
    <n v="4"/>
    <n v="1"/>
    <x v="8"/>
    <x v="2"/>
    <s v="Married"/>
    <n v="2844"/>
    <n v="6004"/>
    <n v="1"/>
    <s v="Y"/>
    <x v="1"/>
    <n v="13"/>
    <n v="3"/>
    <n v="4"/>
    <n v="80"/>
    <n v="1"/>
    <n v="7"/>
    <n v="2"/>
    <x v="3"/>
    <x v="5"/>
    <n v="6"/>
    <n v="5"/>
    <n v="0"/>
  </r>
  <r>
    <n v="28"/>
    <x v="1"/>
    <s v="Travel_Frequently"/>
    <n v="773"/>
    <x v="1"/>
    <n v="6"/>
    <n v="3"/>
    <s v="Life Sciences"/>
    <n v="1"/>
    <n v="1154"/>
    <x v="1"/>
    <s v="Male"/>
    <n v="39"/>
    <n v="2"/>
    <n v="1"/>
    <x v="1"/>
    <x v="2"/>
    <s v="Divorced"/>
    <n v="2703"/>
    <n v="22088"/>
    <n v="1"/>
    <s v="Y"/>
    <x v="0"/>
    <n v="14"/>
    <n v="3"/>
    <n v="4"/>
    <n v="80"/>
    <n v="1"/>
    <n v="3"/>
    <n v="2"/>
    <x v="1"/>
    <x v="11"/>
    <n v="1"/>
    <n v="0"/>
    <n v="2"/>
  </r>
  <r>
    <n v="18"/>
    <x v="0"/>
    <s v="Non-Travel"/>
    <n v="247"/>
    <x v="1"/>
    <n v="8"/>
    <n v="1"/>
    <s v="Medical"/>
    <n v="1"/>
    <n v="1156"/>
    <x v="1"/>
    <s v="Male"/>
    <n v="80"/>
    <n v="3"/>
    <n v="1"/>
    <x v="2"/>
    <x v="2"/>
    <s v="Single"/>
    <n v="1904"/>
    <n v="13556"/>
    <n v="1"/>
    <s v="Y"/>
    <x v="1"/>
    <n v="12"/>
    <n v="3"/>
    <n v="4"/>
    <n v="80"/>
    <n v="0"/>
    <n v="0"/>
    <n v="0"/>
    <x v="1"/>
    <x v="2"/>
    <n v="0"/>
    <n v="0"/>
    <n v="0"/>
  </r>
  <r>
    <n v="33"/>
    <x v="0"/>
    <s v="Travel_Rarely"/>
    <n v="603"/>
    <x v="0"/>
    <n v="9"/>
    <n v="4"/>
    <s v="Marketing"/>
    <n v="1"/>
    <n v="1157"/>
    <x v="3"/>
    <s v="Female"/>
    <n v="77"/>
    <n v="3"/>
    <n v="2"/>
    <x v="0"/>
    <x v="3"/>
    <s v="Single"/>
    <n v="8224"/>
    <n v="18385"/>
    <n v="0"/>
    <s v="Y"/>
    <x v="0"/>
    <n v="17"/>
    <n v="3"/>
    <n v="1"/>
    <n v="80"/>
    <n v="0"/>
    <n v="6"/>
    <n v="3"/>
    <x v="1"/>
    <x v="8"/>
    <n v="2"/>
    <n v="0"/>
    <n v="3"/>
  </r>
  <r>
    <n v="41"/>
    <x v="1"/>
    <s v="Travel_Rarely"/>
    <n v="167"/>
    <x v="1"/>
    <n v="12"/>
    <n v="4"/>
    <s v="Life Sciences"/>
    <n v="1"/>
    <n v="1158"/>
    <x v="0"/>
    <s v="Male"/>
    <n v="46"/>
    <n v="3"/>
    <n v="1"/>
    <x v="2"/>
    <x v="0"/>
    <s v="Married"/>
    <n v="4766"/>
    <n v="9051"/>
    <n v="3"/>
    <s v="Y"/>
    <x v="0"/>
    <n v="11"/>
    <n v="3"/>
    <n v="1"/>
    <n v="80"/>
    <n v="1"/>
    <n v="6"/>
    <n v="4"/>
    <x v="1"/>
    <x v="6"/>
    <n v="0"/>
    <n v="0"/>
    <n v="0"/>
  </r>
  <r>
    <n v="31"/>
    <x v="0"/>
    <s v="Travel_Frequently"/>
    <n v="874"/>
    <x v="1"/>
    <n v="15"/>
    <n v="3"/>
    <s v="Medical"/>
    <n v="1"/>
    <n v="1160"/>
    <x v="1"/>
    <s v="Male"/>
    <n v="72"/>
    <n v="3"/>
    <n v="1"/>
    <x v="2"/>
    <x v="2"/>
    <s v="Married"/>
    <n v="2610"/>
    <n v="6233"/>
    <n v="1"/>
    <s v="Y"/>
    <x v="1"/>
    <n v="12"/>
    <n v="3"/>
    <n v="3"/>
    <n v="80"/>
    <n v="1"/>
    <n v="2"/>
    <n v="5"/>
    <x v="2"/>
    <x v="4"/>
    <n v="2"/>
    <n v="2"/>
    <n v="2"/>
  </r>
  <r>
    <n v="37"/>
    <x v="1"/>
    <s v="Travel_Rarely"/>
    <n v="367"/>
    <x v="1"/>
    <n v="25"/>
    <n v="2"/>
    <s v="Medical"/>
    <n v="1"/>
    <n v="1161"/>
    <x v="1"/>
    <s v="Female"/>
    <n v="52"/>
    <n v="2"/>
    <n v="2"/>
    <x v="4"/>
    <x v="0"/>
    <s v="Divorced"/>
    <n v="5731"/>
    <n v="17171"/>
    <n v="7"/>
    <s v="Y"/>
    <x v="1"/>
    <n v="13"/>
    <n v="3"/>
    <n v="3"/>
    <n v="80"/>
    <n v="2"/>
    <n v="9"/>
    <n v="2"/>
    <x v="1"/>
    <x v="0"/>
    <n v="2"/>
    <n v="1"/>
    <n v="3"/>
  </r>
  <r>
    <n v="27"/>
    <x v="1"/>
    <s v="Travel_Rarely"/>
    <n v="199"/>
    <x v="1"/>
    <n v="6"/>
    <n v="3"/>
    <s v="Life Sciences"/>
    <n v="1"/>
    <n v="1162"/>
    <x v="2"/>
    <s v="Male"/>
    <n v="55"/>
    <n v="2"/>
    <n v="1"/>
    <x v="1"/>
    <x v="2"/>
    <s v="Married"/>
    <n v="2539"/>
    <n v="7950"/>
    <n v="1"/>
    <s v="Y"/>
    <x v="1"/>
    <n v="13"/>
    <n v="3"/>
    <n v="3"/>
    <n v="80"/>
    <n v="1"/>
    <n v="4"/>
    <n v="0"/>
    <x v="1"/>
    <x v="9"/>
    <n v="2"/>
    <n v="2"/>
    <n v="2"/>
  </r>
  <r>
    <n v="34"/>
    <x v="1"/>
    <s v="Travel_Rarely"/>
    <n v="1400"/>
    <x v="0"/>
    <n v="9"/>
    <n v="1"/>
    <s v="Life Sciences"/>
    <n v="1"/>
    <n v="1163"/>
    <x v="0"/>
    <s v="Female"/>
    <n v="70"/>
    <n v="3"/>
    <n v="2"/>
    <x v="0"/>
    <x v="2"/>
    <s v="Married"/>
    <n v="5714"/>
    <n v="5829"/>
    <n v="1"/>
    <s v="Y"/>
    <x v="1"/>
    <n v="20"/>
    <n v="4"/>
    <n v="1"/>
    <n v="80"/>
    <n v="0"/>
    <n v="6"/>
    <n v="3"/>
    <x v="2"/>
    <x v="0"/>
    <n v="5"/>
    <n v="1"/>
    <n v="3"/>
  </r>
  <r>
    <n v="35"/>
    <x v="1"/>
    <s v="Travel_Rarely"/>
    <n v="528"/>
    <x v="2"/>
    <n v="8"/>
    <n v="4"/>
    <s v="Technical Degree"/>
    <n v="1"/>
    <n v="1164"/>
    <x v="1"/>
    <s v="Male"/>
    <n v="100"/>
    <n v="3"/>
    <n v="1"/>
    <x v="8"/>
    <x v="2"/>
    <s v="Single"/>
    <n v="4323"/>
    <n v="7108"/>
    <n v="1"/>
    <s v="Y"/>
    <x v="1"/>
    <n v="17"/>
    <n v="3"/>
    <n v="2"/>
    <n v="80"/>
    <n v="0"/>
    <n v="6"/>
    <n v="2"/>
    <x v="0"/>
    <x v="8"/>
    <n v="4"/>
    <n v="1"/>
    <n v="4"/>
  </r>
  <r>
    <n v="29"/>
    <x v="0"/>
    <s v="Travel_Rarely"/>
    <n v="408"/>
    <x v="0"/>
    <n v="23"/>
    <n v="1"/>
    <s v="Life Sciences"/>
    <n v="1"/>
    <n v="1165"/>
    <x v="2"/>
    <s v="Female"/>
    <n v="45"/>
    <n v="2"/>
    <n v="3"/>
    <x v="0"/>
    <x v="3"/>
    <s v="Married"/>
    <n v="7336"/>
    <n v="11162"/>
    <n v="1"/>
    <s v="Y"/>
    <x v="1"/>
    <n v="13"/>
    <n v="3"/>
    <n v="1"/>
    <n v="80"/>
    <n v="1"/>
    <n v="11"/>
    <n v="3"/>
    <x v="0"/>
    <x v="19"/>
    <n v="8"/>
    <n v="3"/>
    <n v="10"/>
  </r>
  <r>
    <n v="40"/>
    <x v="1"/>
    <s v="Travel_Frequently"/>
    <n v="593"/>
    <x v="1"/>
    <n v="9"/>
    <n v="4"/>
    <s v="Medical"/>
    <n v="1"/>
    <n v="1166"/>
    <x v="0"/>
    <s v="Female"/>
    <n v="88"/>
    <n v="3"/>
    <n v="3"/>
    <x v="7"/>
    <x v="2"/>
    <s v="Single"/>
    <n v="13499"/>
    <n v="13782"/>
    <n v="9"/>
    <s v="Y"/>
    <x v="1"/>
    <n v="17"/>
    <n v="3"/>
    <n v="3"/>
    <n v="80"/>
    <n v="0"/>
    <n v="20"/>
    <n v="3"/>
    <x v="2"/>
    <x v="29"/>
    <n v="7"/>
    <n v="2"/>
    <n v="13"/>
  </r>
  <r>
    <n v="42"/>
    <x v="0"/>
    <s v="Travel_Frequently"/>
    <n v="481"/>
    <x v="0"/>
    <n v="12"/>
    <n v="3"/>
    <s v="Life Sciences"/>
    <n v="1"/>
    <n v="1167"/>
    <x v="1"/>
    <s v="Male"/>
    <n v="44"/>
    <n v="3"/>
    <n v="4"/>
    <x v="0"/>
    <x v="3"/>
    <s v="Single"/>
    <n v="13758"/>
    <n v="2447"/>
    <n v="0"/>
    <s v="Y"/>
    <x v="0"/>
    <n v="12"/>
    <n v="3"/>
    <n v="2"/>
    <n v="80"/>
    <n v="0"/>
    <n v="22"/>
    <n v="2"/>
    <x v="2"/>
    <x v="17"/>
    <n v="9"/>
    <n v="13"/>
    <n v="14"/>
  </r>
  <r>
    <n v="42"/>
    <x v="1"/>
    <s v="Travel_Rarely"/>
    <n v="647"/>
    <x v="0"/>
    <n v="4"/>
    <n v="4"/>
    <s v="Marketing"/>
    <n v="1"/>
    <n v="1171"/>
    <x v="0"/>
    <s v="Male"/>
    <n v="45"/>
    <n v="3"/>
    <n v="2"/>
    <x v="0"/>
    <x v="3"/>
    <s v="Single"/>
    <n v="5155"/>
    <n v="2253"/>
    <n v="7"/>
    <s v="Y"/>
    <x v="1"/>
    <n v="13"/>
    <n v="3"/>
    <n v="4"/>
    <n v="80"/>
    <n v="0"/>
    <n v="9"/>
    <n v="3"/>
    <x v="3"/>
    <x v="0"/>
    <n v="4"/>
    <n v="1"/>
    <n v="5"/>
  </r>
  <r>
    <n v="35"/>
    <x v="1"/>
    <s v="Travel_Rarely"/>
    <n v="982"/>
    <x v="1"/>
    <n v="1"/>
    <n v="4"/>
    <s v="Medical"/>
    <n v="1"/>
    <n v="1172"/>
    <x v="2"/>
    <s v="Male"/>
    <n v="58"/>
    <n v="2"/>
    <n v="1"/>
    <x v="2"/>
    <x v="2"/>
    <s v="Married"/>
    <n v="2258"/>
    <n v="16340"/>
    <n v="6"/>
    <s v="Y"/>
    <x v="1"/>
    <n v="12"/>
    <n v="3"/>
    <n v="2"/>
    <n v="80"/>
    <n v="1"/>
    <n v="10"/>
    <n v="2"/>
    <x v="1"/>
    <x v="3"/>
    <n v="0"/>
    <n v="1"/>
    <n v="7"/>
  </r>
  <r>
    <n v="24"/>
    <x v="1"/>
    <s v="Travel_Rarely"/>
    <n v="477"/>
    <x v="1"/>
    <n v="24"/>
    <n v="3"/>
    <s v="Medical"/>
    <n v="1"/>
    <n v="1173"/>
    <x v="2"/>
    <s v="Male"/>
    <n v="49"/>
    <n v="3"/>
    <n v="1"/>
    <x v="2"/>
    <x v="1"/>
    <s v="Single"/>
    <n v="3597"/>
    <n v="6409"/>
    <n v="8"/>
    <s v="Y"/>
    <x v="1"/>
    <n v="22"/>
    <n v="4"/>
    <n v="4"/>
    <n v="80"/>
    <n v="0"/>
    <n v="6"/>
    <n v="2"/>
    <x v="1"/>
    <x v="9"/>
    <n v="3"/>
    <n v="1"/>
    <n v="2"/>
  </r>
  <r>
    <n v="28"/>
    <x v="0"/>
    <s v="Travel_Rarely"/>
    <n v="1485"/>
    <x v="1"/>
    <n v="12"/>
    <n v="1"/>
    <s v="Life Sciences"/>
    <n v="1"/>
    <n v="1175"/>
    <x v="1"/>
    <s v="Female"/>
    <n v="79"/>
    <n v="3"/>
    <n v="1"/>
    <x v="2"/>
    <x v="0"/>
    <s v="Married"/>
    <n v="2515"/>
    <n v="22955"/>
    <n v="1"/>
    <s v="Y"/>
    <x v="0"/>
    <n v="11"/>
    <n v="3"/>
    <n v="4"/>
    <n v="80"/>
    <n v="0"/>
    <n v="1"/>
    <n v="4"/>
    <x v="2"/>
    <x v="6"/>
    <n v="1"/>
    <n v="0"/>
    <n v="0"/>
  </r>
  <r>
    <n v="26"/>
    <x v="1"/>
    <s v="Travel_Rarely"/>
    <n v="1384"/>
    <x v="1"/>
    <n v="3"/>
    <n v="4"/>
    <s v="Medical"/>
    <n v="1"/>
    <n v="1177"/>
    <x v="3"/>
    <s v="Male"/>
    <n v="82"/>
    <n v="4"/>
    <n v="1"/>
    <x v="2"/>
    <x v="0"/>
    <s v="Married"/>
    <n v="4420"/>
    <n v="13421"/>
    <n v="1"/>
    <s v="Y"/>
    <x v="1"/>
    <n v="22"/>
    <n v="4"/>
    <n v="2"/>
    <n v="80"/>
    <n v="1"/>
    <n v="8"/>
    <n v="2"/>
    <x v="1"/>
    <x v="3"/>
    <n v="7"/>
    <n v="0"/>
    <n v="7"/>
  </r>
  <r>
    <n v="30"/>
    <x v="1"/>
    <s v="Travel_Rarely"/>
    <n v="852"/>
    <x v="0"/>
    <n v="10"/>
    <n v="3"/>
    <s v="Marketing"/>
    <n v="1"/>
    <n v="1179"/>
    <x v="1"/>
    <s v="Male"/>
    <n v="72"/>
    <n v="2"/>
    <n v="2"/>
    <x v="0"/>
    <x v="2"/>
    <s v="Married"/>
    <n v="6578"/>
    <n v="2706"/>
    <n v="1"/>
    <s v="Y"/>
    <x v="1"/>
    <n v="18"/>
    <n v="3"/>
    <n v="1"/>
    <n v="80"/>
    <n v="1"/>
    <n v="10"/>
    <n v="3"/>
    <x v="1"/>
    <x v="1"/>
    <n v="3"/>
    <n v="1"/>
    <n v="4"/>
  </r>
  <r>
    <n v="40"/>
    <x v="1"/>
    <s v="Travel_Frequently"/>
    <n v="902"/>
    <x v="1"/>
    <n v="26"/>
    <n v="2"/>
    <s v="Medical"/>
    <n v="1"/>
    <n v="1180"/>
    <x v="1"/>
    <s v="Female"/>
    <n v="92"/>
    <n v="2"/>
    <n v="2"/>
    <x v="1"/>
    <x v="0"/>
    <s v="Married"/>
    <n v="4422"/>
    <n v="21203"/>
    <n v="3"/>
    <s v="Y"/>
    <x v="0"/>
    <n v="13"/>
    <n v="3"/>
    <n v="4"/>
    <n v="80"/>
    <n v="1"/>
    <n v="16"/>
    <n v="3"/>
    <x v="0"/>
    <x v="6"/>
    <n v="1"/>
    <n v="0"/>
    <n v="0"/>
  </r>
  <r>
    <n v="35"/>
    <x v="1"/>
    <s v="Travel_Rarely"/>
    <n v="819"/>
    <x v="1"/>
    <n v="2"/>
    <n v="3"/>
    <s v="Life Sciences"/>
    <n v="1"/>
    <n v="1182"/>
    <x v="1"/>
    <s v="Male"/>
    <n v="44"/>
    <n v="2"/>
    <n v="3"/>
    <x v="3"/>
    <x v="1"/>
    <s v="Divorced"/>
    <n v="10274"/>
    <n v="19588"/>
    <n v="2"/>
    <s v="Y"/>
    <x v="1"/>
    <n v="18"/>
    <n v="3"/>
    <n v="2"/>
    <n v="80"/>
    <n v="1"/>
    <n v="15"/>
    <n v="2"/>
    <x v="3"/>
    <x v="5"/>
    <n v="7"/>
    <n v="6"/>
    <n v="4"/>
  </r>
  <r>
    <n v="34"/>
    <x v="1"/>
    <s v="Travel_Frequently"/>
    <n v="669"/>
    <x v="1"/>
    <n v="1"/>
    <n v="3"/>
    <s v="Medical"/>
    <n v="1"/>
    <n v="1184"/>
    <x v="2"/>
    <s v="Male"/>
    <n v="97"/>
    <n v="2"/>
    <n v="2"/>
    <x v="4"/>
    <x v="3"/>
    <s v="Single"/>
    <n v="5343"/>
    <n v="25755"/>
    <n v="0"/>
    <s v="Y"/>
    <x v="1"/>
    <n v="20"/>
    <n v="4"/>
    <n v="3"/>
    <n v="80"/>
    <n v="0"/>
    <n v="14"/>
    <n v="3"/>
    <x v="1"/>
    <x v="20"/>
    <n v="9"/>
    <n v="4"/>
    <n v="9"/>
  </r>
  <r>
    <n v="35"/>
    <x v="1"/>
    <s v="Travel_Frequently"/>
    <n v="636"/>
    <x v="1"/>
    <n v="4"/>
    <n v="4"/>
    <s v="Other"/>
    <n v="1"/>
    <n v="1185"/>
    <x v="2"/>
    <s v="Male"/>
    <n v="47"/>
    <n v="2"/>
    <n v="1"/>
    <x v="2"/>
    <x v="0"/>
    <s v="Married"/>
    <n v="2376"/>
    <n v="26537"/>
    <n v="1"/>
    <s v="Y"/>
    <x v="1"/>
    <n v="13"/>
    <n v="3"/>
    <n v="2"/>
    <n v="80"/>
    <n v="1"/>
    <n v="2"/>
    <n v="2"/>
    <x v="3"/>
    <x v="4"/>
    <n v="2"/>
    <n v="2"/>
    <n v="2"/>
  </r>
  <r>
    <n v="43"/>
    <x v="0"/>
    <s v="Travel_Rarely"/>
    <n v="1372"/>
    <x v="0"/>
    <n v="9"/>
    <n v="3"/>
    <s v="Marketing"/>
    <n v="1"/>
    <n v="1188"/>
    <x v="3"/>
    <s v="Female"/>
    <n v="85"/>
    <n v="1"/>
    <n v="2"/>
    <x v="0"/>
    <x v="2"/>
    <s v="Single"/>
    <n v="5346"/>
    <n v="9489"/>
    <n v="8"/>
    <s v="Y"/>
    <x v="1"/>
    <n v="13"/>
    <n v="3"/>
    <n v="2"/>
    <n v="80"/>
    <n v="0"/>
    <n v="7"/>
    <n v="2"/>
    <x v="2"/>
    <x v="9"/>
    <n v="3"/>
    <n v="1"/>
    <n v="3"/>
  </r>
  <r>
    <n v="32"/>
    <x v="1"/>
    <s v="Non-Travel"/>
    <n v="862"/>
    <x v="0"/>
    <n v="2"/>
    <n v="1"/>
    <s v="Life Sciences"/>
    <n v="1"/>
    <n v="1190"/>
    <x v="1"/>
    <s v="Female"/>
    <n v="76"/>
    <n v="3"/>
    <n v="1"/>
    <x v="6"/>
    <x v="3"/>
    <s v="Divorced"/>
    <n v="2827"/>
    <n v="14947"/>
    <n v="1"/>
    <s v="Y"/>
    <x v="1"/>
    <n v="12"/>
    <n v="3"/>
    <n v="3"/>
    <n v="80"/>
    <n v="3"/>
    <n v="1"/>
    <n v="3"/>
    <x v="1"/>
    <x v="6"/>
    <n v="0"/>
    <n v="0"/>
    <n v="0"/>
  </r>
  <r>
    <n v="56"/>
    <x v="1"/>
    <s v="Travel_Rarely"/>
    <n v="718"/>
    <x v="1"/>
    <n v="4"/>
    <n v="4"/>
    <s v="Technical Degree"/>
    <n v="1"/>
    <n v="1191"/>
    <x v="2"/>
    <s v="Female"/>
    <n v="92"/>
    <n v="3"/>
    <n v="5"/>
    <x v="5"/>
    <x v="3"/>
    <s v="Divorced"/>
    <n v="19943"/>
    <n v="18575"/>
    <n v="4"/>
    <s v="Y"/>
    <x v="1"/>
    <n v="13"/>
    <n v="3"/>
    <n v="4"/>
    <n v="80"/>
    <n v="1"/>
    <n v="28"/>
    <n v="2"/>
    <x v="1"/>
    <x v="8"/>
    <n v="2"/>
    <n v="4"/>
    <n v="2"/>
  </r>
  <r>
    <n v="29"/>
    <x v="1"/>
    <s v="Travel_Rarely"/>
    <n v="1401"/>
    <x v="1"/>
    <n v="6"/>
    <n v="1"/>
    <s v="Medical"/>
    <n v="1"/>
    <n v="1192"/>
    <x v="0"/>
    <s v="Female"/>
    <n v="54"/>
    <n v="3"/>
    <n v="1"/>
    <x v="2"/>
    <x v="0"/>
    <s v="Married"/>
    <n v="3131"/>
    <n v="26342"/>
    <n v="1"/>
    <s v="Y"/>
    <x v="1"/>
    <n v="13"/>
    <n v="3"/>
    <n v="1"/>
    <n v="80"/>
    <n v="1"/>
    <n v="10"/>
    <n v="5"/>
    <x v="1"/>
    <x v="1"/>
    <n v="8"/>
    <n v="0"/>
    <n v="8"/>
  </r>
  <r>
    <n v="19"/>
    <x v="1"/>
    <s v="Travel_Rarely"/>
    <n v="645"/>
    <x v="1"/>
    <n v="9"/>
    <n v="2"/>
    <s v="Life Sciences"/>
    <n v="1"/>
    <n v="1193"/>
    <x v="1"/>
    <s v="Male"/>
    <n v="54"/>
    <n v="3"/>
    <n v="1"/>
    <x v="1"/>
    <x v="3"/>
    <s v="Single"/>
    <n v="2552"/>
    <n v="7172"/>
    <n v="1"/>
    <s v="Y"/>
    <x v="1"/>
    <n v="25"/>
    <n v="4"/>
    <n v="3"/>
    <n v="80"/>
    <n v="0"/>
    <n v="1"/>
    <n v="4"/>
    <x v="1"/>
    <x v="6"/>
    <n v="1"/>
    <n v="0"/>
    <n v="0"/>
  </r>
  <r>
    <n v="45"/>
    <x v="1"/>
    <s v="Travel_Rarely"/>
    <n v="1457"/>
    <x v="1"/>
    <n v="7"/>
    <n v="3"/>
    <s v="Medical"/>
    <n v="1"/>
    <n v="1195"/>
    <x v="3"/>
    <s v="Female"/>
    <n v="83"/>
    <n v="3"/>
    <n v="1"/>
    <x v="1"/>
    <x v="2"/>
    <s v="Married"/>
    <n v="4477"/>
    <n v="20100"/>
    <n v="4"/>
    <s v="Y"/>
    <x v="0"/>
    <n v="19"/>
    <n v="3"/>
    <n v="3"/>
    <n v="80"/>
    <n v="1"/>
    <n v="7"/>
    <n v="2"/>
    <x v="2"/>
    <x v="11"/>
    <n v="2"/>
    <n v="0"/>
    <n v="2"/>
  </r>
  <r>
    <n v="37"/>
    <x v="1"/>
    <s v="Travel_Rarely"/>
    <n v="977"/>
    <x v="1"/>
    <n v="1"/>
    <n v="3"/>
    <s v="Life Sciences"/>
    <n v="1"/>
    <n v="1196"/>
    <x v="2"/>
    <s v="Female"/>
    <n v="56"/>
    <n v="2"/>
    <n v="2"/>
    <x v="3"/>
    <x v="0"/>
    <s v="Married"/>
    <n v="6474"/>
    <n v="9961"/>
    <n v="1"/>
    <s v="Y"/>
    <x v="1"/>
    <n v="13"/>
    <n v="3"/>
    <n v="2"/>
    <n v="80"/>
    <n v="1"/>
    <n v="14"/>
    <n v="2"/>
    <x v="2"/>
    <x v="13"/>
    <n v="8"/>
    <n v="3"/>
    <n v="11"/>
  </r>
  <r>
    <n v="20"/>
    <x v="1"/>
    <s v="Travel_Rarely"/>
    <n v="805"/>
    <x v="1"/>
    <n v="3"/>
    <n v="3"/>
    <s v="Life Sciences"/>
    <n v="1"/>
    <n v="1198"/>
    <x v="3"/>
    <s v="Male"/>
    <n v="87"/>
    <n v="2"/>
    <n v="1"/>
    <x v="2"/>
    <x v="2"/>
    <s v="Single"/>
    <n v="3033"/>
    <n v="12828"/>
    <n v="1"/>
    <s v="Y"/>
    <x v="1"/>
    <n v="12"/>
    <n v="3"/>
    <n v="1"/>
    <n v="80"/>
    <n v="0"/>
    <n v="2"/>
    <n v="2"/>
    <x v="2"/>
    <x v="4"/>
    <n v="2"/>
    <n v="1"/>
    <n v="2"/>
  </r>
  <r>
    <n v="44"/>
    <x v="0"/>
    <s v="Travel_Rarely"/>
    <n v="1097"/>
    <x v="1"/>
    <n v="10"/>
    <n v="4"/>
    <s v="Life Sciences"/>
    <n v="1"/>
    <n v="1200"/>
    <x v="1"/>
    <s v="Male"/>
    <n v="96"/>
    <n v="3"/>
    <n v="1"/>
    <x v="1"/>
    <x v="2"/>
    <s v="Single"/>
    <n v="2936"/>
    <n v="10826"/>
    <n v="1"/>
    <s v="Y"/>
    <x v="0"/>
    <n v="11"/>
    <n v="3"/>
    <n v="3"/>
    <n v="80"/>
    <n v="0"/>
    <n v="6"/>
    <n v="4"/>
    <x v="1"/>
    <x v="0"/>
    <n v="4"/>
    <n v="0"/>
    <n v="2"/>
  </r>
  <r>
    <n v="53"/>
    <x v="1"/>
    <s v="Travel_Rarely"/>
    <n v="1223"/>
    <x v="1"/>
    <n v="7"/>
    <n v="2"/>
    <s v="Medical"/>
    <n v="1"/>
    <n v="1201"/>
    <x v="2"/>
    <s v="Female"/>
    <n v="50"/>
    <n v="3"/>
    <n v="5"/>
    <x v="5"/>
    <x v="2"/>
    <s v="Divorced"/>
    <n v="18606"/>
    <n v="18640"/>
    <n v="3"/>
    <s v="Y"/>
    <x v="1"/>
    <n v="18"/>
    <n v="3"/>
    <n v="2"/>
    <n v="80"/>
    <n v="1"/>
    <n v="26"/>
    <n v="6"/>
    <x v="1"/>
    <x v="5"/>
    <n v="7"/>
    <n v="4"/>
    <n v="7"/>
  </r>
  <r>
    <n v="29"/>
    <x v="1"/>
    <s v="Travel_Rarely"/>
    <n v="942"/>
    <x v="1"/>
    <n v="15"/>
    <n v="1"/>
    <s v="Life Sciences"/>
    <n v="1"/>
    <n v="1202"/>
    <x v="0"/>
    <s v="Female"/>
    <n v="69"/>
    <n v="1"/>
    <n v="1"/>
    <x v="1"/>
    <x v="0"/>
    <s v="Married"/>
    <n v="2168"/>
    <n v="26933"/>
    <n v="0"/>
    <s v="Y"/>
    <x v="0"/>
    <n v="18"/>
    <n v="3"/>
    <n v="1"/>
    <n v="80"/>
    <n v="1"/>
    <n v="6"/>
    <n v="2"/>
    <x v="2"/>
    <x v="8"/>
    <n v="4"/>
    <n v="1"/>
    <n v="3"/>
  </r>
  <r>
    <n v="22"/>
    <x v="0"/>
    <s v="Travel_Frequently"/>
    <n v="1256"/>
    <x v="1"/>
    <n v="3"/>
    <n v="4"/>
    <s v="Life Sciences"/>
    <n v="1"/>
    <n v="1203"/>
    <x v="1"/>
    <s v="Male"/>
    <n v="48"/>
    <n v="2"/>
    <n v="1"/>
    <x v="1"/>
    <x v="0"/>
    <s v="Married"/>
    <n v="2853"/>
    <n v="4223"/>
    <n v="0"/>
    <s v="Y"/>
    <x v="0"/>
    <n v="11"/>
    <n v="3"/>
    <n v="2"/>
    <n v="80"/>
    <n v="1"/>
    <n v="1"/>
    <n v="5"/>
    <x v="1"/>
    <x v="2"/>
    <n v="0"/>
    <n v="0"/>
    <n v="0"/>
  </r>
  <r>
    <n v="46"/>
    <x v="1"/>
    <s v="Travel_Rarely"/>
    <n v="1402"/>
    <x v="0"/>
    <n v="2"/>
    <n v="3"/>
    <s v="Marketing"/>
    <n v="1"/>
    <n v="1204"/>
    <x v="1"/>
    <s v="Female"/>
    <n v="69"/>
    <n v="3"/>
    <n v="4"/>
    <x v="5"/>
    <x v="3"/>
    <s v="Married"/>
    <n v="17048"/>
    <n v="24097"/>
    <n v="8"/>
    <s v="Y"/>
    <x v="1"/>
    <n v="23"/>
    <n v="4"/>
    <n v="1"/>
    <n v="80"/>
    <n v="0"/>
    <n v="28"/>
    <n v="2"/>
    <x v="1"/>
    <x v="34"/>
    <n v="15"/>
    <n v="15"/>
    <n v="9"/>
  </r>
  <r>
    <n v="44"/>
    <x v="1"/>
    <s v="Non-Travel"/>
    <n v="111"/>
    <x v="1"/>
    <n v="17"/>
    <n v="3"/>
    <s v="Life Sciences"/>
    <n v="1"/>
    <n v="1206"/>
    <x v="2"/>
    <s v="Male"/>
    <n v="74"/>
    <n v="1"/>
    <n v="1"/>
    <x v="1"/>
    <x v="2"/>
    <s v="Single"/>
    <n v="2290"/>
    <n v="4279"/>
    <n v="2"/>
    <s v="Y"/>
    <x v="1"/>
    <n v="13"/>
    <n v="3"/>
    <n v="4"/>
    <n v="80"/>
    <n v="0"/>
    <n v="6"/>
    <n v="3"/>
    <x v="1"/>
    <x v="2"/>
    <n v="0"/>
    <n v="0"/>
    <n v="0"/>
  </r>
  <r>
    <n v="33"/>
    <x v="1"/>
    <s v="Travel_Rarely"/>
    <n v="147"/>
    <x v="2"/>
    <n v="2"/>
    <n v="3"/>
    <s v="Human Resources"/>
    <n v="1"/>
    <n v="1207"/>
    <x v="0"/>
    <s v="Male"/>
    <n v="99"/>
    <n v="3"/>
    <n v="1"/>
    <x v="8"/>
    <x v="2"/>
    <s v="Married"/>
    <n v="3600"/>
    <n v="8429"/>
    <n v="1"/>
    <s v="Y"/>
    <x v="1"/>
    <n v="13"/>
    <n v="3"/>
    <n v="4"/>
    <n v="80"/>
    <n v="1"/>
    <n v="5"/>
    <n v="2"/>
    <x v="1"/>
    <x v="8"/>
    <n v="4"/>
    <n v="1"/>
    <n v="4"/>
  </r>
  <r>
    <n v="41"/>
    <x v="0"/>
    <s v="Non-Travel"/>
    <n v="906"/>
    <x v="1"/>
    <n v="5"/>
    <n v="2"/>
    <s v="Life Sciences"/>
    <n v="1"/>
    <n v="1210"/>
    <x v="3"/>
    <s v="Male"/>
    <n v="95"/>
    <n v="2"/>
    <n v="1"/>
    <x v="1"/>
    <x v="3"/>
    <s v="Divorced"/>
    <n v="2107"/>
    <n v="20293"/>
    <n v="6"/>
    <s v="Y"/>
    <x v="1"/>
    <n v="17"/>
    <n v="3"/>
    <n v="1"/>
    <n v="80"/>
    <n v="1"/>
    <n v="5"/>
    <n v="2"/>
    <x v="0"/>
    <x v="6"/>
    <n v="0"/>
    <n v="0"/>
    <n v="0"/>
  </r>
  <r>
    <n v="30"/>
    <x v="1"/>
    <s v="Travel_Rarely"/>
    <n v="1329"/>
    <x v="0"/>
    <n v="29"/>
    <n v="4"/>
    <s v="Life Sciences"/>
    <n v="1"/>
    <n v="1211"/>
    <x v="1"/>
    <s v="Male"/>
    <n v="61"/>
    <n v="3"/>
    <n v="2"/>
    <x v="0"/>
    <x v="3"/>
    <s v="Divorced"/>
    <n v="4115"/>
    <n v="13192"/>
    <n v="8"/>
    <s v="Y"/>
    <x v="1"/>
    <n v="19"/>
    <n v="3"/>
    <n v="3"/>
    <n v="80"/>
    <n v="3"/>
    <n v="8"/>
    <n v="3"/>
    <x v="1"/>
    <x v="9"/>
    <n v="3"/>
    <n v="0"/>
    <n v="3"/>
  </r>
  <r>
    <n v="40"/>
    <x v="1"/>
    <s v="Travel_Frequently"/>
    <n v="1184"/>
    <x v="0"/>
    <n v="2"/>
    <n v="4"/>
    <s v="Medical"/>
    <n v="1"/>
    <n v="1212"/>
    <x v="0"/>
    <s v="Male"/>
    <n v="62"/>
    <n v="3"/>
    <n v="2"/>
    <x v="0"/>
    <x v="1"/>
    <s v="Married"/>
    <n v="4327"/>
    <n v="25440"/>
    <n v="5"/>
    <s v="Y"/>
    <x v="1"/>
    <n v="12"/>
    <n v="3"/>
    <n v="4"/>
    <n v="80"/>
    <n v="3"/>
    <n v="5"/>
    <n v="2"/>
    <x v="1"/>
    <x v="2"/>
    <n v="0"/>
    <n v="0"/>
    <n v="0"/>
  </r>
  <r>
    <n v="50"/>
    <x v="1"/>
    <s v="Travel_Frequently"/>
    <n v="1421"/>
    <x v="1"/>
    <n v="2"/>
    <n v="3"/>
    <s v="Medical"/>
    <n v="1"/>
    <n v="1215"/>
    <x v="2"/>
    <s v="Female"/>
    <n v="30"/>
    <n v="3"/>
    <n v="4"/>
    <x v="5"/>
    <x v="3"/>
    <s v="Married"/>
    <n v="17856"/>
    <n v="9490"/>
    <n v="2"/>
    <s v="Y"/>
    <x v="1"/>
    <n v="22"/>
    <n v="4"/>
    <n v="3"/>
    <n v="80"/>
    <n v="1"/>
    <n v="32"/>
    <n v="3"/>
    <x v="1"/>
    <x v="4"/>
    <n v="2"/>
    <n v="2"/>
    <n v="2"/>
  </r>
  <r>
    <n v="28"/>
    <x v="1"/>
    <s v="Travel_Rarely"/>
    <n v="1179"/>
    <x v="1"/>
    <n v="19"/>
    <n v="4"/>
    <s v="Medical"/>
    <n v="1"/>
    <n v="1216"/>
    <x v="2"/>
    <s v="Male"/>
    <n v="78"/>
    <n v="2"/>
    <n v="1"/>
    <x v="2"/>
    <x v="3"/>
    <s v="Married"/>
    <n v="3196"/>
    <n v="12449"/>
    <n v="1"/>
    <s v="Y"/>
    <x v="1"/>
    <n v="12"/>
    <n v="3"/>
    <n v="3"/>
    <n v="80"/>
    <n v="3"/>
    <n v="6"/>
    <n v="2"/>
    <x v="1"/>
    <x v="0"/>
    <n v="5"/>
    <n v="3"/>
    <n v="3"/>
  </r>
  <r>
    <n v="46"/>
    <x v="1"/>
    <s v="Travel_Rarely"/>
    <n v="1450"/>
    <x v="1"/>
    <n v="15"/>
    <n v="2"/>
    <s v="Life Sciences"/>
    <n v="1"/>
    <n v="1217"/>
    <x v="2"/>
    <s v="Male"/>
    <n v="52"/>
    <n v="3"/>
    <n v="5"/>
    <x v="7"/>
    <x v="1"/>
    <s v="Married"/>
    <n v="19081"/>
    <n v="10849"/>
    <n v="5"/>
    <s v="Y"/>
    <x v="1"/>
    <n v="11"/>
    <n v="3"/>
    <n v="1"/>
    <n v="80"/>
    <n v="1"/>
    <n v="25"/>
    <n v="2"/>
    <x v="1"/>
    <x v="9"/>
    <n v="2"/>
    <n v="0"/>
    <n v="3"/>
  </r>
  <r>
    <n v="35"/>
    <x v="1"/>
    <s v="Travel_Rarely"/>
    <n v="1361"/>
    <x v="0"/>
    <n v="17"/>
    <n v="4"/>
    <s v="Life Sciences"/>
    <n v="1"/>
    <n v="1218"/>
    <x v="1"/>
    <s v="Male"/>
    <n v="94"/>
    <n v="3"/>
    <n v="2"/>
    <x v="0"/>
    <x v="3"/>
    <s v="Married"/>
    <n v="8966"/>
    <n v="21026"/>
    <n v="3"/>
    <s v="Y"/>
    <x v="0"/>
    <n v="15"/>
    <n v="3"/>
    <n v="4"/>
    <n v="80"/>
    <n v="3"/>
    <n v="15"/>
    <n v="2"/>
    <x v="1"/>
    <x v="5"/>
    <n v="7"/>
    <n v="1"/>
    <n v="7"/>
  </r>
  <r>
    <n v="24"/>
    <x v="0"/>
    <s v="Travel_Rarely"/>
    <n v="984"/>
    <x v="1"/>
    <n v="17"/>
    <n v="2"/>
    <s v="Life Sciences"/>
    <n v="1"/>
    <n v="1219"/>
    <x v="2"/>
    <s v="Female"/>
    <n v="97"/>
    <n v="3"/>
    <n v="1"/>
    <x v="2"/>
    <x v="1"/>
    <s v="Married"/>
    <n v="2210"/>
    <n v="3372"/>
    <n v="1"/>
    <s v="Y"/>
    <x v="1"/>
    <n v="13"/>
    <n v="3"/>
    <n v="1"/>
    <n v="80"/>
    <n v="1"/>
    <n v="1"/>
    <n v="3"/>
    <x v="0"/>
    <x v="6"/>
    <n v="0"/>
    <n v="0"/>
    <n v="0"/>
  </r>
  <r>
    <n v="33"/>
    <x v="1"/>
    <s v="Travel_Frequently"/>
    <n v="1146"/>
    <x v="0"/>
    <n v="25"/>
    <n v="3"/>
    <s v="Medical"/>
    <n v="1"/>
    <n v="1220"/>
    <x v="0"/>
    <s v="Female"/>
    <n v="82"/>
    <n v="3"/>
    <n v="2"/>
    <x v="0"/>
    <x v="2"/>
    <s v="Married"/>
    <n v="4539"/>
    <n v="4905"/>
    <n v="1"/>
    <s v="Y"/>
    <x v="1"/>
    <n v="12"/>
    <n v="3"/>
    <n v="1"/>
    <n v="80"/>
    <n v="1"/>
    <n v="10"/>
    <n v="3"/>
    <x v="2"/>
    <x v="1"/>
    <n v="7"/>
    <n v="0"/>
    <n v="1"/>
  </r>
  <r>
    <n v="36"/>
    <x v="1"/>
    <s v="Travel_Rarely"/>
    <n v="917"/>
    <x v="1"/>
    <n v="6"/>
    <n v="4"/>
    <s v="Life Sciences"/>
    <n v="1"/>
    <n v="1221"/>
    <x v="1"/>
    <s v="Male"/>
    <n v="60"/>
    <n v="1"/>
    <n v="1"/>
    <x v="2"/>
    <x v="2"/>
    <s v="Divorced"/>
    <n v="2741"/>
    <n v="6865"/>
    <n v="1"/>
    <s v="Y"/>
    <x v="1"/>
    <n v="14"/>
    <n v="3"/>
    <n v="3"/>
    <n v="80"/>
    <n v="1"/>
    <n v="7"/>
    <n v="4"/>
    <x v="1"/>
    <x v="5"/>
    <n v="7"/>
    <n v="1"/>
    <n v="7"/>
  </r>
  <r>
    <n v="30"/>
    <x v="1"/>
    <s v="Travel_Rarely"/>
    <n v="853"/>
    <x v="1"/>
    <n v="7"/>
    <n v="4"/>
    <s v="Life Sciences"/>
    <n v="1"/>
    <n v="1224"/>
    <x v="1"/>
    <s v="Male"/>
    <n v="49"/>
    <n v="3"/>
    <n v="2"/>
    <x v="2"/>
    <x v="2"/>
    <s v="Divorced"/>
    <n v="3491"/>
    <n v="11309"/>
    <n v="1"/>
    <s v="Y"/>
    <x v="1"/>
    <n v="13"/>
    <n v="3"/>
    <n v="1"/>
    <n v="80"/>
    <n v="3"/>
    <n v="10"/>
    <n v="4"/>
    <x v="2"/>
    <x v="1"/>
    <n v="7"/>
    <n v="8"/>
    <n v="9"/>
  </r>
  <r>
    <n v="44"/>
    <x v="1"/>
    <s v="Travel_Rarely"/>
    <n v="200"/>
    <x v="1"/>
    <n v="29"/>
    <n v="4"/>
    <s v="Other"/>
    <n v="1"/>
    <n v="1225"/>
    <x v="2"/>
    <s v="Male"/>
    <n v="32"/>
    <n v="3"/>
    <n v="2"/>
    <x v="1"/>
    <x v="0"/>
    <s v="Single"/>
    <n v="4541"/>
    <n v="7744"/>
    <n v="1"/>
    <s v="Y"/>
    <x v="1"/>
    <n v="25"/>
    <n v="4"/>
    <n v="2"/>
    <n v="80"/>
    <n v="0"/>
    <n v="20"/>
    <n v="3"/>
    <x v="1"/>
    <x v="23"/>
    <n v="11"/>
    <n v="13"/>
    <n v="17"/>
  </r>
  <r>
    <n v="20"/>
    <x v="1"/>
    <s v="Travel_Rarely"/>
    <n v="654"/>
    <x v="0"/>
    <n v="21"/>
    <n v="3"/>
    <s v="Marketing"/>
    <n v="1"/>
    <n v="1226"/>
    <x v="1"/>
    <s v="Male"/>
    <n v="43"/>
    <n v="4"/>
    <n v="1"/>
    <x v="6"/>
    <x v="0"/>
    <s v="Single"/>
    <n v="2678"/>
    <n v="5050"/>
    <n v="1"/>
    <s v="Y"/>
    <x v="1"/>
    <n v="17"/>
    <n v="3"/>
    <n v="4"/>
    <n v="80"/>
    <n v="0"/>
    <n v="2"/>
    <n v="2"/>
    <x v="1"/>
    <x v="4"/>
    <n v="1"/>
    <n v="2"/>
    <n v="2"/>
  </r>
  <r>
    <n v="46"/>
    <x v="1"/>
    <s v="Travel_Rarely"/>
    <n v="150"/>
    <x v="1"/>
    <n v="2"/>
    <n v="4"/>
    <s v="Technical Degree"/>
    <n v="1"/>
    <n v="1228"/>
    <x v="2"/>
    <s v="Male"/>
    <n v="60"/>
    <n v="3"/>
    <n v="2"/>
    <x v="3"/>
    <x v="0"/>
    <s v="Divorced"/>
    <n v="7379"/>
    <n v="17433"/>
    <n v="2"/>
    <s v="Y"/>
    <x v="1"/>
    <n v="11"/>
    <n v="3"/>
    <n v="3"/>
    <n v="80"/>
    <n v="1"/>
    <n v="12"/>
    <n v="3"/>
    <x v="2"/>
    <x v="0"/>
    <n v="3"/>
    <n v="1"/>
    <n v="4"/>
  </r>
  <r>
    <n v="42"/>
    <x v="1"/>
    <s v="Non-Travel"/>
    <n v="179"/>
    <x v="2"/>
    <n v="2"/>
    <n v="5"/>
    <s v="Medical"/>
    <n v="1"/>
    <n v="1231"/>
    <x v="2"/>
    <s v="Male"/>
    <n v="79"/>
    <n v="4"/>
    <n v="2"/>
    <x v="8"/>
    <x v="3"/>
    <s v="Married"/>
    <n v="6272"/>
    <n v="12858"/>
    <n v="7"/>
    <s v="Y"/>
    <x v="1"/>
    <n v="16"/>
    <n v="3"/>
    <n v="1"/>
    <n v="80"/>
    <n v="1"/>
    <n v="10"/>
    <n v="3"/>
    <x v="3"/>
    <x v="9"/>
    <n v="3"/>
    <n v="0"/>
    <n v="3"/>
  </r>
  <r>
    <n v="60"/>
    <x v="1"/>
    <s v="Travel_Rarely"/>
    <n v="696"/>
    <x v="0"/>
    <n v="7"/>
    <n v="4"/>
    <s v="Marketing"/>
    <n v="1"/>
    <n v="1233"/>
    <x v="0"/>
    <s v="Male"/>
    <n v="52"/>
    <n v="4"/>
    <n v="2"/>
    <x v="0"/>
    <x v="0"/>
    <s v="Divorced"/>
    <n v="5220"/>
    <n v="10893"/>
    <n v="0"/>
    <s v="Y"/>
    <x v="0"/>
    <n v="18"/>
    <n v="3"/>
    <n v="2"/>
    <n v="80"/>
    <n v="1"/>
    <n v="12"/>
    <n v="3"/>
    <x v="1"/>
    <x v="19"/>
    <n v="7"/>
    <n v="1"/>
    <n v="9"/>
  </r>
  <r>
    <n v="32"/>
    <x v="1"/>
    <s v="Travel_Frequently"/>
    <n v="116"/>
    <x v="1"/>
    <n v="13"/>
    <n v="3"/>
    <s v="Other"/>
    <n v="1"/>
    <n v="1234"/>
    <x v="1"/>
    <s v="Female"/>
    <n v="77"/>
    <n v="2"/>
    <n v="1"/>
    <x v="2"/>
    <x v="1"/>
    <s v="Married"/>
    <n v="2743"/>
    <n v="7331"/>
    <n v="1"/>
    <s v="Y"/>
    <x v="1"/>
    <n v="20"/>
    <n v="4"/>
    <n v="3"/>
    <n v="80"/>
    <n v="1"/>
    <n v="2"/>
    <n v="2"/>
    <x v="1"/>
    <x v="4"/>
    <n v="2"/>
    <n v="2"/>
    <n v="2"/>
  </r>
  <r>
    <n v="32"/>
    <x v="1"/>
    <s v="Travel_Frequently"/>
    <n v="1316"/>
    <x v="1"/>
    <n v="2"/>
    <n v="2"/>
    <s v="Life Sciences"/>
    <n v="1"/>
    <n v="1235"/>
    <x v="2"/>
    <s v="Female"/>
    <n v="38"/>
    <n v="3"/>
    <n v="2"/>
    <x v="1"/>
    <x v="2"/>
    <s v="Single"/>
    <n v="4998"/>
    <n v="2338"/>
    <n v="4"/>
    <s v="Y"/>
    <x v="0"/>
    <n v="14"/>
    <n v="3"/>
    <n v="4"/>
    <n v="80"/>
    <n v="0"/>
    <n v="10"/>
    <n v="2"/>
    <x v="1"/>
    <x v="3"/>
    <n v="7"/>
    <n v="0"/>
    <n v="7"/>
  </r>
  <r>
    <n v="36"/>
    <x v="1"/>
    <s v="Travel_Rarely"/>
    <n v="363"/>
    <x v="1"/>
    <n v="1"/>
    <n v="3"/>
    <s v="Technical Degree"/>
    <n v="1"/>
    <n v="1237"/>
    <x v="1"/>
    <s v="Female"/>
    <n v="77"/>
    <n v="1"/>
    <n v="3"/>
    <x v="3"/>
    <x v="3"/>
    <s v="Divorced"/>
    <n v="10252"/>
    <n v="4235"/>
    <n v="2"/>
    <s v="Y"/>
    <x v="0"/>
    <n v="21"/>
    <n v="4"/>
    <n v="3"/>
    <n v="80"/>
    <n v="1"/>
    <n v="17"/>
    <n v="2"/>
    <x v="1"/>
    <x v="5"/>
    <n v="7"/>
    <n v="7"/>
    <n v="7"/>
  </r>
  <r>
    <n v="33"/>
    <x v="1"/>
    <s v="Travel_Rarely"/>
    <n v="117"/>
    <x v="1"/>
    <n v="9"/>
    <n v="3"/>
    <s v="Medical"/>
    <n v="1"/>
    <n v="1238"/>
    <x v="3"/>
    <s v="Male"/>
    <n v="60"/>
    <n v="3"/>
    <n v="1"/>
    <x v="1"/>
    <x v="0"/>
    <s v="Married"/>
    <n v="2781"/>
    <n v="6311"/>
    <n v="0"/>
    <s v="Y"/>
    <x v="1"/>
    <n v="13"/>
    <n v="3"/>
    <n v="2"/>
    <n v="80"/>
    <n v="1"/>
    <n v="15"/>
    <n v="5"/>
    <x v="1"/>
    <x v="13"/>
    <n v="10"/>
    <n v="4"/>
    <n v="10"/>
  </r>
  <r>
    <n v="40"/>
    <x v="1"/>
    <s v="Travel_Rarely"/>
    <n v="107"/>
    <x v="0"/>
    <n v="10"/>
    <n v="3"/>
    <s v="Technical Degree"/>
    <n v="1"/>
    <n v="1239"/>
    <x v="0"/>
    <s v="Female"/>
    <n v="84"/>
    <n v="2"/>
    <n v="2"/>
    <x v="0"/>
    <x v="1"/>
    <s v="Divorced"/>
    <n v="6852"/>
    <n v="11591"/>
    <n v="7"/>
    <s v="Y"/>
    <x v="1"/>
    <n v="12"/>
    <n v="3"/>
    <n v="2"/>
    <n v="80"/>
    <n v="1"/>
    <n v="7"/>
    <n v="2"/>
    <x v="3"/>
    <x v="8"/>
    <n v="1"/>
    <n v="1"/>
    <n v="3"/>
  </r>
  <r>
    <n v="25"/>
    <x v="1"/>
    <s v="Travel_Rarely"/>
    <n v="1356"/>
    <x v="0"/>
    <n v="10"/>
    <n v="4"/>
    <s v="Life Sciences"/>
    <n v="1"/>
    <n v="1240"/>
    <x v="1"/>
    <s v="Male"/>
    <n v="57"/>
    <n v="3"/>
    <n v="2"/>
    <x v="0"/>
    <x v="0"/>
    <s v="Single"/>
    <n v="4950"/>
    <n v="20623"/>
    <n v="0"/>
    <s v="Y"/>
    <x v="1"/>
    <n v="14"/>
    <n v="3"/>
    <n v="2"/>
    <n v="80"/>
    <n v="0"/>
    <n v="5"/>
    <n v="4"/>
    <x v="1"/>
    <x v="9"/>
    <n v="3"/>
    <n v="1"/>
    <n v="1"/>
  </r>
  <r>
    <n v="30"/>
    <x v="1"/>
    <s v="Travel_Rarely"/>
    <n v="1465"/>
    <x v="1"/>
    <n v="1"/>
    <n v="3"/>
    <s v="Medical"/>
    <n v="1"/>
    <n v="1241"/>
    <x v="2"/>
    <s v="Male"/>
    <n v="63"/>
    <n v="3"/>
    <n v="1"/>
    <x v="1"/>
    <x v="1"/>
    <s v="Married"/>
    <n v="3579"/>
    <n v="9369"/>
    <n v="0"/>
    <s v="Y"/>
    <x v="0"/>
    <n v="21"/>
    <n v="4"/>
    <n v="1"/>
    <n v="80"/>
    <n v="1"/>
    <n v="12"/>
    <n v="2"/>
    <x v="1"/>
    <x v="19"/>
    <n v="9"/>
    <n v="5"/>
    <n v="7"/>
  </r>
  <r>
    <n v="42"/>
    <x v="1"/>
    <s v="Travel_Frequently"/>
    <n v="458"/>
    <x v="1"/>
    <n v="26"/>
    <n v="5"/>
    <s v="Medical"/>
    <n v="1"/>
    <n v="1242"/>
    <x v="3"/>
    <s v="Female"/>
    <n v="60"/>
    <n v="3"/>
    <n v="3"/>
    <x v="7"/>
    <x v="3"/>
    <s v="Married"/>
    <n v="13191"/>
    <n v="23281"/>
    <n v="3"/>
    <s v="Y"/>
    <x v="0"/>
    <n v="17"/>
    <n v="3"/>
    <n v="3"/>
    <n v="80"/>
    <n v="0"/>
    <n v="20"/>
    <n v="6"/>
    <x v="1"/>
    <x v="6"/>
    <n v="0"/>
    <n v="0"/>
    <n v="0"/>
  </r>
  <r>
    <n v="35"/>
    <x v="1"/>
    <s v="Non-Travel"/>
    <n v="1212"/>
    <x v="0"/>
    <n v="8"/>
    <n v="2"/>
    <s v="Marketing"/>
    <n v="1"/>
    <n v="1243"/>
    <x v="1"/>
    <s v="Female"/>
    <n v="78"/>
    <n v="2"/>
    <n v="3"/>
    <x v="0"/>
    <x v="0"/>
    <s v="Married"/>
    <n v="10377"/>
    <n v="13755"/>
    <n v="4"/>
    <s v="Y"/>
    <x v="0"/>
    <n v="11"/>
    <n v="3"/>
    <n v="2"/>
    <n v="80"/>
    <n v="1"/>
    <n v="16"/>
    <n v="6"/>
    <x v="2"/>
    <x v="20"/>
    <n v="2"/>
    <n v="4"/>
    <n v="12"/>
  </r>
  <r>
    <n v="27"/>
    <x v="1"/>
    <s v="Travel_Rarely"/>
    <n v="1103"/>
    <x v="1"/>
    <n v="14"/>
    <n v="3"/>
    <s v="Life Sciences"/>
    <n v="1"/>
    <n v="1244"/>
    <x v="3"/>
    <s v="Male"/>
    <n v="42"/>
    <n v="3"/>
    <n v="1"/>
    <x v="1"/>
    <x v="3"/>
    <s v="Married"/>
    <n v="2235"/>
    <n v="14377"/>
    <n v="1"/>
    <s v="Y"/>
    <x v="0"/>
    <n v="14"/>
    <n v="3"/>
    <n v="4"/>
    <n v="80"/>
    <n v="2"/>
    <n v="9"/>
    <n v="3"/>
    <x v="2"/>
    <x v="7"/>
    <n v="7"/>
    <n v="6"/>
    <n v="8"/>
  </r>
  <r>
    <n v="54"/>
    <x v="1"/>
    <s v="Travel_Frequently"/>
    <n v="966"/>
    <x v="1"/>
    <n v="1"/>
    <n v="4"/>
    <s v="Life Sciences"/>
    <n v="1"/>
    <n v="1245"/>
    <x v="2"/>
    <s v="Female"/>
    <n v="53"/>
    <n v="3"/>
    <n v="3"/>
    <x v="3"/>
    <x v="2"/>
    <s v="Divorced"/>
    <n v="10502"/>
    <n v="9659"/>
    <n v="7"/>
    <s v="Y"/>
    <x v="1"/>
    <n v="17"/>
    <n v="3"/>
    <n v="1"/>
    <n v="80"/>
    <n v="1"/>
    <n v="33"/>
    <n v="2"/>
    <x v="0"/>
    <x v="8"/>
    <n v="4"/>
    <n v="1"/>
    <n v="4"/>
  </r>
  <r>
    <n v="44"/>
    <x v="1"/>
    <s v="Travel_Rarely"/>
    <n v="1117"/>
    <x v="1"/>
    <n v="2"/>
    <n v="1"/>
    <s v="Life Sciences"/>
    <n v="1"/>
    <n v="1246"/>
    <x v="3"/>
    <s v="Female"/>
    <n v="72"/>
    <n v="4"/>
    <n v="1"/>
    <x v="1"/>
    <x v="0"/>
    <s v="Married"/>
    <n v="2011"/>
    <n v="19982"/>
    <n v="1"/>
    <s v="Y"/>
    <x v="1"/>
    <n v="13"/>
    <n v="3"/>
    <n v="4"/>
    <n v="80"/>
    <n v="1"/>
    <n v="10"/>
    <n v="5"/>
    <x v="1"/>
    <x v="1"/>
    <n v="5"/>
    <n v="7"/>
    <n v="7"/>
  </r>
  <r>
    <n v="19"/>
    <x v="0"/>
    <s v="Non-Travel"/>
    <n v="504"/>
    <x v="1"/>
    <n v="10"/>
    <n v="3"/>
    <s v="Medical"/>
    <n v="1"/>
    <n v="1248"/>
    <x v="3"/>
    <s v="Female"/>
    <n v="96"/>
    <n v="2"/>
    <n v="1"/>
    <x v="1"/>
    <x v="1"/>
    <s v="Single"/>
    <n v="1859"/>
    <n v="6148"/>
    <n v="1"/>
    <s v="Y"/>
    <x v="0"/>
    <n v="25"/>
    <n v="4"/>
    <n v="2"/>
    <n v="80"/>
    <n v="0"/>
    <n v="1"/>
    <n v="2"/>
    <x v="3"/>
    <x v="6"/>
    <n v="1"/>
    <n v="0"/>
    <n v="0"/>
  </r>
  <r>
    <n v="29"/>
    <x v="1"/>
    <s v="Travel_Rarely"/>
    <n v="1010"/>
    <x v="1"/>
    <n v="1"/>
    <n v="3"/>
    <s v="Life Sciences"/>
    <n v="1"/>
    <n v="1249"/>
    <x v="3"/>
    <s v="Female"/>
    <n v="97"/>
    <n v="3"/>
    <n v="1"/>
    <x v="1"/>
    <x v="0"/>
    <s v="Divorced"/>
    <n v="3760"/>
    <n v="5598"/>
    <n v="1"/>
    <s v="Y"/>
    <x v="1"/>
    <n v="15"/>
    <n v="3"/>
    <n v="1"/>
    <n v="80"/>
    <n v="3"/>
    <n v="3"/>
    <n v="5"/>
    <x v="1"/>
    <x v="11"/>
    <n v="2"/>
    <n v="1"/>
    <n v="2"/>
  </r>
  <r>
    <n v="54"/>
    <x v="1"/>
    <s v="Travel_Rarely"/>
    <n v="685"/>
    <x v="1"/>
    <n v="3"/>
    <n v="3"/>
    <s v="Life Sciences"/>
    <n v="1"/>
    <n v="1250"/>
    <x v="2"/>
    <s v="Male"/>
    <n v="85"/>
    <n v="3"/>
    <n v="4"/>
    <x v="7"/>
    <x v="0"/>
    <s v="Married"/>
    <n v="17779"/>
    <n v="23474"/>
    <n v="3"/>
    <s v="Y"/>
    <x v="1"/>
    <n v="14"/>
    <n v="3"/>
    <n v="1"/>
    <n v="80"/>
    <n v="0"/>
    <n v="36"/>
    <n v="2"/>
    <x v="1"/>
    <x v="1"/>
    <n v="9"/>
    <n v="0"/>
    <n v="9"/>
  </r>
  <r>
    <n v="31"/>
    <x v="1"/>
    <s v="Travel_Rarely"/>
    <n v="1332"/>
    <x v="1"/>
    <n v="11"/>
    <n v="2"/>
    <s v="Medical"/>
    <n v="1"/>
    <n v="1251"/>
    <x v="1"/>
    <s v="Male"/>
    <n v="80"/>
    <n v="3"/>
    <n v="2"/>
    <x v="4"/>
    <x v="3"/>
    <s v="Married"/>
    <n v="6833"/>
    <n v="17089"/>
    <n v="1"/>
    <s v="Y"/>
    <x v="0"/>
    <n v="12"/>
    <n v="3"/>
    <n v="4"/>
    <n v="80"/>
    <n v="0"/>
    <n v="6"/>
    <n v="2"/>
    <x v="2"/>
    <x v="0"/>
    <n v="5"/>
    <n v="0"/>
    <n v="1"/>
  </r>
  <r>
    <n v="31"/>
    <x v="1"/>
    <s v="Travel_Rarely"/>
    <n v="1062"/>
    <x v="1"/>
    <n v="24"/>
    <n v="3"/>
    <s v="Medical"/>
    <n v="1"/>
    <n v="1252"/>
    <x v="1"/>
    <s v="Female"/>
    <n v="96"/>
    <n v="2"/>
    <n v="2"/>
    <x v="4"/>
    <x v="3"/>
    <s v="Single"/>
    <n v="6812"/>
    <n v="17198"/>
    <n v="1"/>
    <s v="Y"/>
    <x v="1"/>
    <n v="19"/>
    <n v="3"/>
    <n v="2"/>
    <n v="80"/>
    <n v="0"/>
    <n v="10"/>
    <n v="2"/>
    <x v="1"/>
    <x v="1"/>
    <n v="9"/>
    <n v="1"/>
    <n v="8"/>
  </r>
  <r>
    <n v="59"/>
    <x v="1"/>
    <s v="Travel_Rarely"/>
    <n v="326"/>
    <x v="0"/>
    <n v="3"/>
    <n v="3"/>
    <s v="Life Sciences"/>
    <n v="1"/>
    <n v="1254"/>
    <x v="1"/>
    <s v="Female"/>
    <n v="48"/>
    <n v="2"/>
    <n v="2"/>
    <x v="0"/>
    <x v="0"/>
    <s v="Single"/>
    <n v="5171"/>
    <n v="16490"/>
    <n v="5"/>
    <s v="Y"/>
    <x v="1"/>
    <n v="17"/>
    <n v="3"/>
    <n v="4"/>
    <n v="80"/>
    <n v="0"/>
    <n v="13"/>
    <n v="2"/>
    <x v="1"/>
    <x v="0"/>
    <n v="1"/>
    <n v="0"/>
    <n v="5"/>
  </r>
  <r>
    <n v="43"/>
    <x v="1"/>
    <s v="Travel_Rarely"/>
    <n v="920"/>
    <x v="1"/>
    <n v="3"/>
    <n v="3"/>
    <s v="Life Sciences"/>
    <n v="1"/>
    <n v="1255"/>
    <x v="1"/>
    <s v="Male"/>
    <n v="96"/>
    <n v="1"/>
    <n v="5"/>
    <x v="7"/>
    <x v="0"/>
    <s v="Married"/>
    <n v="19740"/>
    <n v="18625"/>
    <n v="3"/>
    <s v="Y"/>
    <x v="1"/>
    <n v="14"/>
    <n v="3"/>
    <n v="2"/>
    <n v="80"/>
    <n v="1"/>
    <n v="25"/>
    <n v="2"/>
    <x v="1"/>
    <x v="3"/>
    <n v="7"/>
    <n v="0"/>
    <n v="7"/>
  </r>
  <r>
    <n v="49"/>
    <x v="1"/>
    <s v="Travel_Rarely"/>
    <n v="1098"/>
    <x v="1"/>
    <n v="4"/>
    <n v="2"/>
    <s v="Medical"/>
    <n v="1"/>
    <n v="1256"/>
    <x v="3"/>
    <s v="Male"/>
    <n v="85"/>
    <n v="2"/>
    <n v="5"/>
    <x v="5"/>
    <x v="2"/>
    <s v="Married"/>
    <n v="18711"/>
    <n v="12124"/>
    <n v="2"/>
    <s v="Y"/>
    <x v="1"/>
    <n v="13"/>
    <n v="3"/>
    <n v="3"/>
    <n v="80"/>
    <n v="1"/>
    <n v="23"/>
    <n v="2"/>
    <x v="3"/>
    <x v="6"/>
    <n v="0"/>
    <n v="0"/>
    <n v="0"/>
  </r>
  <r>
    <n v="36"/>
    <x v="1"/>
    <s v="Travel_Frequently"/>
    <n v="469"/>
    <x v="1"/>
    <n v="3"/>
    <n v="3"/>
    <s v="Technical Degree"/>
    <n v="1"/>
    <n v="1257"/>
    <x v="1"/>
    <s v="Male"/>
    <n v="46"/>
    <n v="3"/>
    <n v="1"/>
    <x v="1"/>
    <x v="1"/>
    <s v="Married"/>
    <n v="3692"/>
    <n v="9256"/>
    <n v="1"/>
    <s v="Y"/>
    <x v="1"/>
    <n v="12"/>
    <n v="3"/>
    <n v="3"/>
    <n v="80"/>
    <n v="0"/>
    <n v="12"/>
    <n v="2"/>
    <x v="2"/>
    <x v="19"/>
    <n v="10"/>
    <n v="0"/>
    <n v="7"/>
  </r>
  <r>
    <n v="48"/>
    <x v="1"/>
    <s v="Travel_Rarely"/>
    <n v="969"/>
    <x v="1"/>
    <n v="2"/>
    <n v="2"/>
    <s v="Technical Degree"/>
    <n v="1"/>
    <n v="1258"/>
    <x v="2"/>
    <s v="Male"/>
    <n v="76"/>
    <n v="4"/>
    <n v="1"/>
    <x v="2"/>
    <x v="1"/>
    <s v="Single"/>
    <n v="2559"/>
    <n v="16620"/>
    <n v="5"/>
    <s v="Y"/>
    <x v="1"/>
    <n v="11"/>
    <n v="3"/>
    <n v="3"/>
    <n v="80"/>
    <n v="0"/>
    <n v="7"/>
    <n v="4"/>
    <x v="2"/>
    <x v="6"/>
    <n v="0"/>
    <n v="0"/>
    <n v="0"/>
  </r>
  <r>
    <n v="27"/>
    <x v="1"/>
    <s v="Travel_Rarely"/>
    <n v="1167"/>
    <x v="1"/>
    <n v="4"/>
    <n v="2"/>
    <s v="Life Sciences"/>
    <n v="1"/>
    <n v="1259"/>
    <x v="3"/>
    <s v="Male"/>
    <n v="76"/>
    <n v="3"/>
    <n v="1"/>
    <x v="1"/>
    <x v="2"/>
    <s v="Divorced"/>
    <n v="2517"/>
    <n v="3208"/>
    <n v="1"/>
    <s v="Y"/>
    <x v="1"/>
    <n v="11"/>
    <n v="3"/>
    <n v="2"/>
    <n v="80"/>
    <n v="3"/>
    <n v="5"/>
    <n v="2"/>
    <x v="1"/>
    <x v="8"/>
    <n v="3"/>
    <n v="0"/>
    <n v="3"/>
  </r>
  <r>
    <n v="29"/>
    <x v="1"/>
    <s v="Travel_Rarely"/>
    <n v="1329"/>
    <x v="1"/>
    <n v="7"/>
    <n v="3"/>
    <s v="Life Sciences"/>
    <n v="1"/>
    <n v="1260"/>
    <x v="1"/>
    <s v="Male"/>
    <n v="82"/>
    <n v="3"/>
    <n v="2"/>
    <x v="4"/>
    <x v="0"/>
    <s v="Divorced"/>
    <n v="6623"/>
    <n v="4204"/>
    <n v="1"/>
    <s v="Y"/>
    <x v="0"/>
    <n v="11"/>
    <n v="3"/>
    <n v="2"/>
    <n v="80"/>
    <n v="2"/>
    <n v="6"/>
    <n v="2"/>
    <x v="1"/>
    <x v="0"/>
    <n v="0"/>
    <n v="1"/>
    <n v="0"/>
  </r>
  <r>
    <n v="48"/>
    <x v="1"/>
    <s v="Travel_Rarely"/>
    <n v="715"/>
    <x v="1"/>
    <n v="1"/>
    <n v="3"/>
    <s v="Life Sciences"/>
    <n v="1"/>
    <n v="1263"/>
    <x v="2"/>
    <s v="Male"/>
    <n v="76"/>
    <n v="2"/>
    <n v="5"/>
    <x v="7"/>
    <x v="0"/>
    <s v="Single"/>
    <n v="18265"/>
    <n v="8733"/>
    <n v="6"/>
    <s v="Y"/>
    <x v="1"/>
    <n v="12"/>
    <n v="3"/>
    <n v="3"/>
    <n v="80"/>
    <n v="0"/>
    <n v="25"/>
    <n v="3"/>
    <x v="3"/>
    <x v="6"/>
    <n v="0"/>
    <n v="0"/>
    <n v="0"/>
  </r>
  <r>
    <n v="29"/>
    <x v="1"/>
    <s v="Travel_Rarely"/>
    <n v="694"/>
    <x v="1"/>
    <n v="1"/>
    <n v="3"/>
    <s v="Life Sciences"/>
    <n v="1"/>
    <n v="1264"/>
    <x v="2"/>
    <s v="Female"/>
    <n v="87"/>
    <n v="2"/>
    <n v="4"/>
    <x v="7"/>
    <x v="0"/>
    <s v="Divorced"/>
    <n v="16124"/>
    <n v="3423"/>
    <n v="3"/>
    <s v="Y"/>
    <x v="1"/>
    <n v="14"/>
    <n v="3"/>
    <n v="2"/>
    <n v="80"/>
    <n v="2"/>
    <n v="9"/>
    <n v="2"/>
    <x v="2"/>
    <x v="5"/>
    <n v="7"/>
    <n v="1"/>
    <n v="7"/>
  </r>
  <r>
    <n v="34"/>
    <x v="1"/>
    <s v="Travel_Rarely"/>
    <n v="1320"/>
    <x v="1"/>
    <n v="20"/>
    <n v="3"/>
    <s v="Technical Degree"/>
    <n v="1"/>
    <n v="1265"/>
    <x v="1"/>
    <s v="Female"/>
    <n v="89"/>
    <n v="4"/>
    <n v="1"/>
    <x v="1"/>
    <x v="2"/>
    <s v="Married"/>
    <n v="2585"/>
    <n v="21643"/>
    <n v="0"/>
    <s v="Y"/>
    <x v="1"/>
    <n v="17"/>
    <n v="3"/>
    <n v="4"/>
    <n v="80"/>
    <n v="0"/>
    <n v="2"/>
    <n v="5"/>
    <x v="2"/>
    <x v="6"/>
    <n v="0"/>
    <n v="0"/>
    <n v="0"/>
  </r>
  <r>
    <n v="44"/>
    <x v="1"/>
    <s v="Travel_Rarely"/>
    <n v="1099"/>
    <x v="0"/>
    <n v="5"/>
    <n v="3"/>
    <s v="Marketing"/>
    <n v="1"/>
    <n v="1267"/>
    <x v="0"/>
    <s v="Male"/>
    <n v="88"/>
    <n v="3"/>
    <n v="5"/>
    <x v="5"/>
    <x v="1"/>
    <s v="Married"/>
    <n v="18213"/>
    <n v="8751"/>
    <n v="7"/>
    <s v="Y"/>
    <x v="1"/>
    <n v="11"/>
    <n v="3"/>
    <n v="3"/>
    <n v="80"/>
    <n v="1"/>
    <n v="26"/>
    <n v="5"/>
    <x v="1"/>
    <x v="14"/>
    <n v="9"/>
    <n v="3"/>
    <n v="10"/>
  </r>
  <r>
    <n v="33"/>
    <x v="1"/>
    <s v="Travel_Rarely"/>
    <n v="536"/>
    <x v="0"/>
    <n v="10"/>
    <n v="5"/>
    <s v="Marketing"/>
    <n v="1"/>
    <n v="1268"/>
    <x v="2"/>
    <s v="Male"/>
    <n v="82"/>
    <n v="4"/>
    <n v="3"/>
    <x v="0"/>
    <x v="2"/>
    <s v="Divorced"/>
    <n v="8380"/>
    <n v="21708"/>
    <n v="0"/>
    <s v="Y"/>
    <x v="0"/>
    <n v="14"/>
    <n v="3"/>
    <n v="4"/>
    <n v="80"/>
    <n v="2"/>
    <n v="10"/>
    <n v="3"/>
    <x v="1"/>
    <x v="7"/>
    <n v="8"/>
    <n v="0"/>
    <n v="8"/>
  </r>
  <r>
    <n v="19"/>
    <x v="1"/>
    <s v="Travel_Rarely"/>
    <n v="265"/>
    <x v="1"/>
    <n v="25"/>
    <n v="3"/>
    <s v="Life Sciences"/>
    <n v="1"/>
    <n v="1269"/>
    <x v="0"/>
    <s v="Female"/>
    <n v="57"/>
    <n v="4"/>
    <n v="1"/>
    <x v="1"/>
    <x v="0"/>
    <s v="Single"/>
    <n v="2994"/>
    <n v="21221"/>
    <n v="1"/>
    <s v="Y"/>
    <x v="0"/>
    <n v="12"/>
    <n v="3"/>
    <n v="4"/>
    <n v="80"/>
    <n v="0"/>
    <n v="1"/>
    <n v="2"/>
    <x v="1"/>
    <x v="6"/>
    <n v="0"/>
    <n v="0"/>
    <n v="1"/>
  </r>
  <r>
    <n v="23"/>
    <x v="1"/>
    <s v="Travel_Rarely"/>
    <n v="373"/>
    <x v="1"/>
    <n v="1"/>
    <n v="2"/>
    <s v="Life Sciences"/>
    <n v="1"/>
    <n v="1270"/>
    <x v="2"/>
    <s v="Male"/>
    <n v="47"/>
    <n v="3"/>
    <n v="1"/>
    <x v="1"/>
    <x v="2"/>
    <s v="Married"/>
    <n v="1223"/>
    <n v="16901"/>
    <n v="1"/>
    <s v="Y"/>
    <x v="1"/>
    <n v="22"/>
    <n v="4"/>
    <n v="4"/>
    <n v="80"/>
    <n v="1"/>
    <n v="1"/>
    <n v="2"/>
    <x v="1"/>
    <x v="6"/>
    <n v="0"/>
    <n v="0"/>
    <n v="1"/>
  </r>
  <r>
    <n v="25"/>
    <x v="0"/>
    <s v="Travel_Frequently"/>
    <n v="599"/>
    <x v="0"/>
    <n v="24"/>
    <n v="1"/>
    <s v="Life Sciences"/>
    <n v="1"/>
    <n v="1273"/>
    <x v="1"/>
    <s v="Male"/>
    <n v="73"/>
    <n v="1"/>
    <n v="1"/>
    <x v="6"/>
    <x v="0"/>
    <s v="Single"/>
    <n v="1118"/>
    <n v="8040"/>
    <n v="1"/>
    <s v="Y"/>
    <x v="0"/>
    <n v="14"/>
    <n v="3"/>
    <n v="4"/>
    <n v="80"/>
    <n v="0"/>
    <n v="1"/>
    <n v="4"/>
    <x v="1"/>
    <x v="6"/>
    <n v="0"/>
    <n v="1"/>
    <n v="0"/>
  </r>
  <r>
    <n v="26"/>
    <x v="1"/>
    <s v="Travel_Rarely"/>
    <n v="583"/>
    <x v="1"/>
    <n v="4"/>
    <n v="2"/>
    <s v="Life Sciences"/>
    <n v="1"/>
    <n v="1275"/>
    <x v="1"/>
    <s v="Male"/>
    <n v="53"/>
    <n v="3"/>
    <n v="1"/>
    <x v="1"/>
    <x v="0"/>
    <s v="Single"/>
    <n v="2875"/>
    <n v="9973"/>
    <n v="1"/>
    <s v="Y"/>
    <x v="0"/>
    <n v="20"/>
    <n v="4"/>
    <n v="2"/>
    <n v="80"/>
    <n v="0"/>
    <n v="8"/>
    <n v="2"/>
    <x v="2"/>
    <x v="3"/>
    <n v="5"/>
    <n v="2"/>
    <n v="2"/>
  </r>
  <r>
    <n v="45"/>
    <x v="0"/>
    <s v="Travel_Rarely"/>
    <n v="1449"/>
    <x v="0"/>
    <n v="2"/>
    <n v="3"/>
    <s v="Marketing"/>
    <n v="1"/>
    <n v="1277"/>
    <x v="3"/>
    <s v="Female"/>
    <n v="94"/>
    <n v="1"/>
    <n v="5"/>
    <x v="5"/>
    <x v="1"/>
    <s v="Single"/>
    <n v="18824"/>
    <n v="2493"/>
    <n v="2"/>
    <s v="Y"/>
    <x v="0"/>
    <n v="16"/>
    <n v="3"/>
    <n v="1"/>
    <n v="80"/>
    <n v="0"/>
    <n v="26"/>
    <n v="2"/>
    <x v="1"/>
    <x v="25"/>
    <n v="10"/>
    <n v="1"/>
    <n v="11"/>
  </r>
  <r>
    <n v="55"/>
    <x v="1"/>
    <s v="Non-Travel"/>
    <n v="177"/>
    <x v="1"/>
    <n v="8"/>
    <n v="1"/>
    <s v="Medical"/>
    <n v="1"/>
    <n v="1278"/>
    <x v="2"/>
    <s v="Male"/>
    <n v="37"/>
    <n v="2"/>
    <n v="4"/>
    <x v="4"/>
    <x v="1"/>
    <s v="Divorced"/>
    <n v="13577"/>
    <n v="25592"/>
    <n v="1"/>
    <s v="Y"/>
    <x v="0"/>
    <n v="15"/>
    <n v="3"/>
    <n v="4"/>
    <n v="80"/>
    <n v="1"/>
    <n v="34"/>
    <n v="3"/>
    <x v="1"/>
    <x v="26"/>
    <n v="9"/>
    <n v="15"/>
    <n v="0"/>
  </r>
  <r>
    <n v="21"/>
    <x v="0"/>
    <s v="Travel_Frequently"/>
    <n v="251"/>
    <x v="1"/>
    <n v="10"/>
    <n v="2"/>
    <s v="Life Sciences"/>
    <n v="1"/>
    <n v="1279"/>
    <x v="3"/>
    <s v="Female"/>
    <n v="45"/>
    <n v="2"/>
    <n v="1"/>
    <x v="2"/>
    <x v="2"/>
    <s v="Single"/>
    <n v="2625"/>
    <n v="25308"/>
    <n v="1"/>
    <s v="Y"/>
    <x v="1"/>
    <n v="20"/>
    <n v="4"/>
    <n v="3"/>
    <n v="80"/>
    <n v="0"/>
    <n v="2"/>
    <n v="2"/>
    <x v="0"/>
    <x v="4"/>
    <n v="2"/>
    <n v="2"/>
    <n v="2"/>
  </r>
  <r>
    <n v="46"/>
    <x v="1"/>
    <s v="Travel_Rarely"/>
    <n v="168"/>
    <x v="0"/>
    <n v="4"/>
    <n v="2"/>
    <s v="Marketing"/>
    <n v="1"/>
    <n v="1280"/>
    <x v="2"/>
    <s v="Female"/>
    <n v="33"/>
    <n v="2"/>
    <n v="5"/>
    <x v="5"/>
    <x v="1"/>
    <s v="Married"/>
    <n v="18789"/>
    <n v="9946"/>
    <n v="2"/>
    <s v="Y"/>
    <x v="1"/>
    <n v="14"/>
    <n v="3"/>
    <n v="3"/>
    <n v="80"/>
    <n v="1"/>
    <n v="26"/>
    <n v="2"/>
    <x v="1"/>
    <x v="19"/>
    <n v="4"/>
    <n v="0"/>
    <n v="8"/>
  </r>
  <r>
    <n v="34"/>
    <x v="1"/>
    <s v="Travel_Rarely"/>
    <n v="131"/>
    <x v="0"/>
    <n v="2"/>
    <n v="3"/>
    <s v="Marketing"/>
    <n v="1"/>
    <n v="1281"/>
    <x v="1"/>
    <s v="Female"/>
    <n v="86"/>
    <n v="3"/>
    <n v="2"/>
    <x v="0"/>
    <x v="3"/>
    <s v="Single"/>
    <n v="4538"/>
    <n v="6039"/>
    <n v="0"/>
    <s v="Y"/>
    <x v="0"/>
    <n v="12"/>
    <n v="3"/>
    <n v="4"/>
    <n v="80"/>
    <n v="0"/>
    <n v="4"/>
    <n v="3"/>
    <x v="1"/>
    <x v="11"/>
    <n v="2"/>
    <n v="0"/>
    <n v="2"/>
  </r>
  <r>
    <n v="51"/>
    <x v="1"/>
    <s v="Travel_Frequently"/>
    <n v="237"/>
    <x v="0"/>
    <n v="9"/>
    <n v="3"/>
    <s v="Life Sciences"/>
    <n v="1"/>
    <n v="1282"/>
    <x v="2"/>
    <s v="Male"/>
    <n v="83"/>
    <n v="3"/>
    <n v="5"/>
    <x v="5"/>
    <x v="1"/>
    <s v="Divorced"/>
    <n v="19847"/>
    <n v="19196"/>
    <n v="4"/>
    <s v="Y"/>
    <x v="0"/>
    <n v="24"/>
    <n v="4"/>
    <n v="1"/>
    <n v="80"/>
    <n v="1"/>
    <n v="31"/>
    <n v="5"/>
    <x v="2"/>
    <x v="30"/>
    <n v="10"/>
    <n v="11"/>
    <n v="10"/>
  </r>
  <r>
    <n v="59"/>
    <x v="1"/>
    <s v="Travel_Rarely"/>
    <n v="1429"/>
    <x v="1"/>
    <n v="18"/>
    <n v="4"/>
    <s v="Medical"/>
    <n v="1"/>
    <n v="1283"/>
    <x v="2"/>
    <s v="Male"/>
    <n v="67"/>
    <n v="3"/>
    <n v="3"/>
    <x v="3"/>
    <x v="0"/>
    <s v="Single"/>
    <n v="10512"/>
    <n v="20002"/>
    <n v="6"/>
    <s v="Y"/>
    <x v="1"/>
    <n v="12"/>
    <n v="3"/>
    <n v="4"/>
    <n v="80"/>
    <n v="0"/>
    <n v="25"/>
    <n v="6"/>
    <x v="2"/>
    <x v="7"/>
    <n v="7"/>
    <n v="5"/>
    <n v="4"/>
  </r>
  <r>
    <n v="34"/>
    <x v="1"/>
    <s v="Travel_Frequently"/>
    <n v="135"/>
    <x v="1"/>
    <n v="19"/>
    <n v="3"/>
    <s v="Medical"/>
    <n v="1"/>
    <n v="1285"/>
    <x v="1"/>
    <s v="Female"/>
    <n v="46"/>
    <n v="3"/>
    <n v="2"/>
    <x v="2"/>
    <x v="1"/>
    <s v="Divorced"/>
    <n v="4444"/>
    <n v="22534"/>
    <n v="4"/>
    <s v="Y"/>
    <x v="1"/>
    <n v="13"/>
    <n v="3"/>
    <n v="3"/>
    <n v="80"/>
    <n v="2"/>
    <n v="15"/>
    <n v="2"/>
    <x v="3"/>
    <x v="19"/>
    <n v="8"/>
    <n v="5"/>
    <n v="10"/>
  </r>
  <r>
    <n v="28"/>
    <x v="1"/>
    <s v="Travel_Frequently"/>
    <n v="791"/>
    <x v="1"/>
    <n v="1"/>
    <n v="4"/>
    <s v="Medical"/>
    <n v="1"/>
    <n v="1286"/>
    <x v="2"/>
    <s v="Male"/>
    <n v="44"/>
    <n v="3"/>
    <n v="1"/>
    <x v="2"/>
    <x v="2"/>
    <s v="Single"/>
    <n v="2154"/>
    <n v="6842"/>
    <n v="0"/>
    <s v="Y"/>
    <x v="0"/>
    <n v="11"/>
    <n v="3"/>
    <n v="3"/>
    <n v="80"/>
    <n v="0"/>
    <n v="5"/>
    <n v="2"/>
    <x v="2"/>
    <x v="9"/>
    <n v="2"/>
    <n v="0"/>
    <n v="2"/>
  </r>
  <r>
    <n v="44"/>
    <x v="1"/>
    <s v="Travel_Rarely"/>
    <n v="1199"/>
    <x v="1"/>
    <n v="4"/>
    <n v="2"/>
    <s v="Life Sciences"/>
    <n v="1"/>
    <n v="1288"/>
    <x v="1"/>
    <s v="Male"/>
    <n v="92"/>
    <n v="4"/>
    <n v="5"/>
    <x v="5"/>
    <x v="3"/>
    <s v="Divorced"/>
    <n v="19190"/>
    <n v="17477"/>
    <n v="1"/>
    <s v="Y"/>
    <x v="1"/>
    <n v="14"/>
    <n v="3"/>
    <n v="4"/>
    <n v="80"/>
    <n v="2"/>
    <n v="26"/>
    <n v="4"/>
    <x v="2"/>
    <x v="10"/>
    <n v="9"/>
    <n v="14"/>
    <n v="13"/>
  </r>
  <r>
    <n v="34"/>
    <x v="1"/>
    <s v="Travel_Frequently"/>
    <n v="648"/>
    <x v="2"/>
    <n v="11"/>
    <n v="3"/>
    <s v="Life Sciences"/>
    <n v="1"/>
    <n v="1289"/>
    <x v="1"/>
    <s v="Male"/>
    <n v="56"/>
    <n v="2"/>
    <n v="2"/>
    <x v="8"/>
    <x v="1"/>
    <s v="Married"/>
    <n v="4490"/>
    <n v="21833"/>
    <n v="4"/>
    <s v="Y"/>
    <x v="1"/>
    <n v="11"/>
    <n v="3"/>
    <n v="4"/>
    <n v="80"/>
    <n v="2"/>
    <n v="14"/>
    <n v="5"/>
    <x v="3"/>
    <x v="1"/>
    <n v="9"/>
    <n v="1"/>
    <n v="8"/>
  </r>
  <r>
    <n v="35"/>
    <x v="1"/>
    <s v="Travel_Rarely"/>
    <n v="735"/>
    <x v="1"/>
    <n v="6"/>
    <n v="1"/>
    <s v="Life Sciences"/>
    <n v="1"/>
    <n v="1291"/>
    <x v="1"/>
    <s v="Male"/>
    <n v="66"/>
    <n v="3"/>
    <n v="1"/>
    <x v="1"/>
    <x v="2"/>
    <s v="Married"/>
    <n v="3506"/>
    <n v="6020"/>
    <n v="0"/>
    <s v="Y"/>
    <x v="0"/>
    <n v="14"/>
    <n v="3"/>
    <n v="4"/>
    <n v="80"/>
    <n v="0"/>
    <n v="4"/>
    <n v="3"/>
    <x v="1"/>
    <x v="11"/>
    <n v="2"/>
    <n v="2"/>
    <n v="2"/>
  </r>
  <r>
    <n v="42"/>
    <x v="1"/>
    <s v="Travel_Rarely"/>
    <n v="603"/>
    <x v="1"/>
    <n v="7"/>
    <n v="4"/>
    <s v="Medical"/>
    <n v="1"/>
    <n v="1292"/>
    <x v="0"/>
    <s v="Female"/>
    <n v="78"/>
    <n v="4"/>
    <n v="2"/>
    <x v="1"/>
    <x v="1"/>
    <s v="Married"/>
    <n v="2372"/>
    <n v="5628"/>
    <n v="6"/>
    <s v="Y"/>
    <x v="0"/>
    <n v="16"/>
    <n v="3"/>
    <n v="4"/>
    <n v="80"/>
    <n v="0"/>
    <n v="18"/>
    <n v="2"/>
    <x v="1"/>
    <x v="6"/>
    <n v="0"/>
    <n v="0"/>
    <n v="0"/>
  </r>
  <r>
    <n v="43"/>
    <x v="1"/>
    <s v="Travel_Rarely"/>
    <n v="531"/>
    <x v="0"/>
    <n v="4"/>
    <n v="4"/>
    <s v="Marketing"/>
    <n v="1"/>
    <n v="1293"/>
    <x v="2"/>
    <s v="Female"/>
    <n v="56"/>
    <n v="2"/>
    <n v="3"/>
    <x v="0"/>
    <x v="0"/>
    <s v="Single"/>
    <n v="10231"/>
    <n v="20364"/>
    <n v="3"/>
    <s v="Y"/>
    <x v="1"/>
    <n v="14"/>
    <n v="3"/>
    <n v="4"/>
    <n v="80"/>
    <n v="0"/>
    <n v="23"/>
    <n v="3"/>
    <x v="3"/>
    <x v="17"/>
    <n v="7"/>
    <n v="15"/>
    <n v="17"/>
  </r>
  <r>
    <n v="36"/>
    <x v="1"/>
    <s v="Travel_Rarely"/>
    <n v="429"/>
    <x v="1"/>
    <n v="2"/>
    <n v="4"/>
    <s v="Life Sciences"/>
    <n v="1"/>
    <n v="1294"/>
    <x v="1"/>
    <s v="Female"/>
    <n v="53"/>
    <n v="3"/>
    <n v="2"/>
    <x v="3"/>
    <x v="1"/>
    <s v="Single"/>
    <n v="5410"/>
    <n v="2323"/>
    <n v="9"/>
    <s v="Y"/>
    <x v="0"/>
    <n v="11"/>
    <n v="3"/>
    <n v="4"/>
    <n v="80"/>
    <n v="0"/>
    <n v="18"/>
    <n v="2"/>
    <x v="1"/>
    <x v="22"/>
    <n v="14"/>
    <n v="5"/>
    <n v="12"/>
  </r>
  <r>
    <n v="44"/>
    <x v="0"/>
    <s v="Travel_Rarely"/>
    <n v="621"/>
    <x v="1"/>
    <n v="15"/>
    <n v="3"/>
    <s v="Medical"/>
    <n v="1"/>
    <n v="1295"/>
    <x v="3"/>
    <s v="Female"/>
    <n v="73"/>
    <n v="3"/>
    <n v="3"/>
    <x v="4"/>
    <x v="0"/>
    <s v="Married"/>
    <n v="7978"/>
    <n v="14075"/>
    <n v="1"/>
    <s v="Y"/>
    <x v="1"/>
    <n v="11"/>
    <n v="3"/>
    <n v="4"/>
    <n v="80"/>
    <n v="1"/>
    <n v="10"/>
    <n v="2"/>
    <x v="1"/>
    <x v="1"/>
    <n v="7"/>
    <n v="0"/>
    <n v="5"/>
  </r>
  <r>
    <n v="28"/>
    <x v="1"/>
    <s v="Travel_Frequently"/>
    <n v="193"/>
    <x v="1"/>
    <n v="2"/>
    <n v="3"/>
    <s v="Life Sciences"/>
    <n v="1"/>
    <n v="1296"/>
    <x v="2"/>
    <s v="Male"/>
    <n v="52"/>
    <n v="2"/>
    <n v="1"/>
    <x v="2"/>
    <x v="0"/>
    <s v="Married"/>
    <n v="3867"/>
    <n v="14222"/>
    <n v="1"/>
    <s v="Y"/>
    <x v="0"/>
    <n v="12"/>
    <n v="3"/>
    <n v="2"/>
    <n v="80"/>
    <n v="1"/>
    <n v="2"/>
    <n v="2"/>
    <x v="1"/>
    <x v="4"/>
    <n v="2"/>
    <n v="2"/>
    <n v="2"/>
  </r>
  <r>
    <n v="51"/>
    <x v="1"/>
    <s v="Travel_Frequently"/>
    <n v="968"/>
    <x v="1"/>
    <n v="6"/>
    <n v="2"/>
    <s v="Medical"/>
    <n v="1"/>
    <n v="1297"/>
    <x v="0"/>
    <s v="Female"/>
    <n v="40"/>
    <n v="2"/>
    <n v="1"/>
    <x v="2"/>
    <x v="2"/>
    <s v="Single"/>
    <n v="2838"/>
    <n v="4257"/>
    <n v="0"/>
    <s v="Y"/>
    <x v="1"/>
    <n v="14"/>
    <n v="3"/>
    <n v="2"/>
    <n v="80"/>
    <n v="0"/>
    <n v="8"/>
    <n v="6"/>
    <x v="2"/>
    <x v="5"/>
    <n v="0"/>
    <n v="7"/>
    <n v="7"/>
  </r>
  <r>
    <n v="30"/>
    <x v="1"/>
    <s v="Non-Travel"/>
    <n v="879"/>
    <x v="1"/>
    <n v="9"/>
    <n v="2"/>
    <s v="Medical"/>
    <n v="1"/>
    <n v="1298"/>
    <x v="1"/>
    <s v="Female"/>
    <n v="72"/>
    <n v="3"/>
    <n v="2"/>
    <x v="3"/>
    <x v="2"/>
    <s v="Single"/>
    <n v="4695"/>
    <n v="12858"/>
    <n v="7"/>
    <s v="Y"/>
    <x v="0"/>
    <n v="18"/>
    <n v="3"/>
    <n v="3"/>
    <n v="80"/>
    <n v="0"/>
    <n v="10"/>
    <n v="3"/>
    <x v="1"/>
    <x v="3"/>
    <n v="4"/>
    <n v="1"/>
    <n v="7"/>
  </r>
  <r>
    <n v="29"/>
    <x v="0"/>
    <s v="Travel_Rarely"/>
    <n v="806"/>
    <x v="1"/>
    <n v="7"/>
    <n v="3"/>
    <s v="Technical Degree"/>
    <n v="1"/>
    <n v="1299"/>
    <x v="0"/>
    <s v="Female"/>
    <n v="39"/>
    <n v="3"/>
    <n v="1"/>
    <x v="2"/>
    <x v="2"/>
    <s v="Divorced"/>
    <n v="3339"/>
    <n v="17285"/>
    <n v="3"/>
    <s v="Y"/>
    <x v="0"/>
    <n v="13"/>
    <n v="3"/>
    <n v="1"/>
    <n v="80"/>
    <n v="2"/>
    <n v="10"/>
    <n v="2"/>
    <x v="1"/>
    <x v="5"/>
    <n v="7"/>
    <n v="7"/>
    <n v="7"/>
  </r>
  <r>
    <n v="28"/>
    <x v="1"/>
    <s v="Travel_Rarely"/>
    <n v="640"/>
    <x v="1"/>
    <n v="1"/>
    <n v="3"/>
    <s v="Technical Degree"/>
    <n v="1"/>
    <n v="1301"/>
    <x v="2"/>
    <s v="Male"/>
    <n v="84"/>
    <n v="3"/>
    <n v="1"/>
    <x v="1"/>
    <x v="3"/>
    <s v="Single"/>
    <n v="2080"/>
    <n v="4732"/>
    <n v="2"/>
    <s v="Y"/>
    <x v="1"/>
    <n v="11"/>
    <n v="3"/>
    <n v="2"/>
    <n v="80"/>
    <n v="0"/>
    <n v="5"/>
    <n v="2"/>
    <x v="2"/>
    <x v="11"/>
    <n v="2"/>
    <n v="1"/>
    <n v="2"/>
  </r>
  <r>
    <n v="25"/>
    <x v="1"/>
    <s v="Travel_Rarely"/>
    <n v="266"/>
    <x v="1"/>
    <n v="1"/>
    <n v="3"/>
    <s v="Medical"/>
    <n v="1"/>
    <n v="1303"/>
    <x v="2"/>
    <s v="Female"/>
    <n v="40"/>
    <n v="3"/>
    <n v="1"/>
    <x v="1"/>
    <x v="1"/>
    <s v="Single"/>
    <n v="2096"/>
    <n v="18830"/>
    <n v="1"/>
    <s v="Y"/>
    <x v="1"/>
    <n v="18"/>
    <n v="3"/>
    <n v="4"/>
    <n v="80"/>
    <n v="0"/>
    <n v="2"/>
    <n v="3"/>
    <x v="2"/>
    <x v="4"/>
    <n v="2"/>
    <n v="2"/>
    <n v="1"/>
  </r>
  <r>
    <n v="32"/>
    <x v="1"/>
    <s v="Travel_Rarely"/>
    <n v="604"/>
    <x v="0"/>
    <n v="8"/>
    <n v="3"/>
    <s v="Medical"/>
    <n v="1"/>
    <n v="1304"/>
    <x v="1"/>
    <s v="Male"/>
    <n v="56"/>
    <n v="4"/>
    <n v="2"/>
    <x v="0"/>
    <x v="0"/>
    <s v="Married"/>
    <n v="6209"/>
    <n v="11693"/>
    <n v="1"/>
    <s v="Y"/>
    <x v="1"/>
    <n v="15"/>
    <n v="3"/>
    <n v="3"/>
    <n v="80"/>
    <n v="2"/>
    <n v="10"/>
    <n v="4"/>
    <x v="3"/>
    <x v="1"/>
    <n v="7"/>
    <n v="0"/>
    <n v="8"/>
  </r>
  <r>
    <n v="45"/>
    <x v="1"/>
    <s v="Travel_Frequently"/>
    <n v="364"/>
    <x v="1"/>
    <n v="25"/>
    <n v="3"/>
    <s v="Medical"/>
    <n v="1"/>
    <n v="1306"/>
    <x v="0"/>
    <s v="Female"/>
    <n v="83"/>
    <n v="3"/>
    <n v="5"/>
    <x v="5"/>
    <x v="1"/>
    <s v="Single"/>
    <n v="18061"/>
    <n v="13035"/>
    <n v="3"/>
    <s v="Y"/>
    <x v="1"/>
    <n v="22"/>
    <n v="4"/>
    <n v="3"/>
    <n v="80"/>
    <n v="0"/>
    <n v="22"/>
    <n v="4"/>
    <x v="1"/>
    <x v="2"/>
    <n v="0"/>
    <n v="0"/>
    <n v="0"/>
  </r>
  <r>
    <n v="39"/>
    <x v="1"/>
    <s v="Travel_Rarely"/>
    <n v="412"/>
    <x v="1"/>
    <n v="13"/>
    <n v="4"/>
    <s v="Medical"/>
    <n v="1"/>
    <n v="1307"/>
    <x v="1"/>
    <s v="Female"/>
    <n v="94"/>
    <n v="2"/>
    <n v="4"/>
    <x v="5"/>
    <x v="1"/>
    <s v="Divorced"/>
    <n v="17123"/>
    <n v="17334"/>
    <n v="6"/>
    <s v="Y"/>
    <x v="0"/>
    <n v="13"/>
    <n v="3"/>
    <n v="4"/>
    <n v="80"/>
    <n v="2"/>
    <n v="21"/>
    <n v="4"/>
    <x v="1"/>
    <x v="27"/>
    <n v="9"/>
    <n v="15"/>
    <n v="2"/>
  </r>
  <r>
    <n v="58"/>
    <x v="1"/>
    <s v="Travel_Rarely"/>
    <n v="848"/>
    <x v="1"/>
    <n v="23"/>
    <n v="4"/>
    <s v="Life Sciences"/>
    <n v="1"/>
    <n v="1308"/>
    <x v="3"/>
    <s v="Male"/>
    <n v="88"/>
    <n v="3"/>
    <n v="1"/>
    <x v="1"/>
    <x v="2"/>
    <s v="Divorced"/>
    <n v="2372"/>
    <n v="26076"/>
    <n v="1"/>
    <s v="Y"/>
    <x v="1"/>
    <n v="12"/>
    <n v="3"/>
    <n v="4"/>
    <n v="80"/>
    <n v="2"/>
    <n v="2"/>
    <n v="3"/>
    <x v="1"/>
    <x v="4"/>
    <n v="2"/>
    <n v="2"/>
    <n v="2"/>
  </r>
  <r>
    <n v="32"/>
    <x v="0"/>
    <s v="Travel_Rarely"/>
    <n v="1089"/>
    <x v="1"/>
    <n v="7"/>
    <n v="2"/>
    <s v="Life Sciences"/>
    <n v="1"/>
    <n v="1309"/>
    <x v="2"/>
    <s v="Male"/>
    <n v="79"/>
    <n v="3"/>
    <n v="2"/>
    <x v="2"/>
    <x v="2"/>
    <s v="Married"/>
    <n v="4883"/>
    <n v="22845"/>
    <n v="1"/>
    <s v="Y"/>
    <x v="1"/>
    <n v="18"/>
    <n v="3"/>
    <n v="1"/>
    <n v="80"/>
    <n v="1"/>
    <n v="10"/>
    <n v="3"/>
    <x v="1"/>
    <x v="1"/>
    <n v="4"/>
    <n v="1"/>
    <n v="1"/>
  </r>
  <r>
    <n v="39"/>
    <x v="0"/>
    <s v="Travel_Rarely"/>
    <n v="360"/>
    <x v="1"/>
    <n v="23"/>
    <n v="3"/>
    <s v="Medical"/>
    <n v="1"/>
    <n v="1310"/>
    <x v="1"/>
    <s v="Male"/>
    <n v="93"/>
    <n v="3"/>
    <n v="1"/>
    <x v="1"/>
    <x v="3"/>
    <s v="Single"/>
    <n v="3904"/>
    <n v="22154"/>
    <n v="0"/>
    <s v="Y"/>
    <x v="1"/>
    <n v="13"/>
    <n v="3"/>
    <n v="1"/>
    <n v="80"/>
    <n v="0"/>
    <n v="6"/>
    <n v="2"/>
    <x v="1"/>
    <x v="8"/>
    <n v="2"/>
    <n v="0"/>
    <n v="3"/>
  </r>
  <r>
    <n v="30"/>
    <x v="1"/>
    <s v="Travel_Rarely"/>
    <n v="1138"/>
    <x v="1"/>
    <n v="6"/>
    <n v="3"/>
    <s v="Technical Degree"/>
    <n v="1"/>
    <n v="1311"/>
    <x v="3"/>
    <s v="Female"/>
    <n v="48"/>
    <n v="2"/>
    <n v="2"/>
    <x v="2"/>
    <x v="0"/>
    <s v="Married"/>
    <n v="4627"/>
    <n v="23631"/>
    <n v="0"/>
    <s v="Y"/>
    <x v="1"/>
    <n v="12"/>
    <n v="3"/>
    <n v="1"/>
    <n v="80"/>
    <n v="1"/>
    <n v="10"/>
    <n v="6"/>
    <x v="1"/>
    <x v="7"/>
    <n v="2"/>
    <n v="6"/>
    <n v="7"/>
  </r>
  <r>
    <n v="36"/>
    <x v="1"/>
    <s v="Travel_Rarely"/>
    <n v="325"/>
    <x v="1"/>
    <n v="10"/>
    <n v="4"/>
    <s v="Technical Degree"/>
    <n v="1"/>
    <n v="1312"/>
    <x v="2"/>
    <s v="Female"/>
    <n v="63"/>
    <n v="3"/>
    <n v="3"/>
    <x v="4"/>
    <x v="2"/>
    <s v="Married"/>
    <n v="7094"/>
    <n v="5747"/>
    <n v="3"/>
    <s v="Y"/>
    <x v="1"/>
    <n v="12"/>
    <n v="3"/>
    <n v="1"/>
    <n v="80"/>
    <n v="0"/>
    <n v="10"/>
    <n v="0"/>
    <x v="1"/>
    <x v="5"/>
    <n v="7"/>
    <n v="1"/>
    <n v="7"/>
  </r>
  <r>
    <n v="46"/>
    <x v="1"/>
    <s v="Travel_Rarely"/>
    <n v="991"/>
    <x v="2"/>
    <n v="1"/>
    <n v="2"/>
    <s v="Life Sciences"/>
    <n v="1"/>
    <n v="1314"/>
    <x v="2"/>
    <s v="Female"/>
    <n v="44"/>
    <n v="3"/>
    <n v="1"/>
    <x v="8"/>
    <x v="3"/>
    <s v="Single"/>
    <n v="3423"/>
    <n v="22957"/>
    <n v="6"/>
    <s v="Y"/>
    <x v="1"/>
    <n v="12"/>
    <n v="3"/>
    <n v="3"/>
    <n v="80"/>
    <n v="0"/>
    <n v="10"/>
    <n v="3"/>
    <x v="3"/>
    <x v="5"/>
    <n v="6"/>
    <n v="5"/>
    <n v="7"/>
  </r>
  <r>
    <n v="28"/>
    <x v="1"/>
    <s v="Non-Travel"/>
    <n v="1476"/>
    <x v="1"/>
    <n v="1"/>
    <n v="3"/>
    <s v="Life Sciences"/>
    <n v="1"/>
    <n v="1315"/>
    <x v="1"/>
    <s v="Female"/>
    <n v="55"/>
    <n v="1"/>
    <n v="2"/>
    <x v="2"/>
    <x v="0"/>
    <s v="Married"/>
    <n v="6674"/>
    <n v="16392"/>
    <n v="0"/>
    <s v="Y"/>
    <x v="1"/>
    <n v="11"/>
    <n v="3"/>
    <n v="1"/>
    <n v="80"/>
    <n v="3"/>
    <n v="10"/>
    <n v="6"/>
    <x v="1"/>
    <x v="7"/>
    <n v="8"/>
    <n v="7"/>
    <n v="5"/>
  </r>
  <r>
    <n v="50"/>
    <x v="1"/>
    <s v="Travel_Rarely"/>
    <n v="1322"/>
    <x v="1"/>
    <n v="28"/>
    <n v="3"/>
    <s v="Life Sciences"/>
    <n v="1"/>
    <n v="1317"/>
    <x v="2"/>
    <s v="Female"/>
    <n v="43"/>
    <n v="3"/>
    <n v="4"/>
    <x v="7"/>
    <x v="3"/>
    <s v="Married"/>
    <n v="16880"/>
    <n v="22422"/>
    <n v="4"/>
    <s v="Y"/>
    <x v="0"/>
    <n v="11"/>
    <n v="3"/>
    <n v="2"/>
    <n v="80"/>
    <n v="0"/>
    <n v="25"/>
    <n v="2"/>
    <x v="1"/>
    <x v="11"/>
    <n v="2"/>
    <n v="1"/>
    <n v="2"/>
  </r>
  <r>
    <n v="40"/>
    <x v="0"/>
    <s v="Travel_Rarely"/>
    <n v="299"/>
    <x v="0"/>
    <n v="25"/>
    <n v="4"/>
    <s v="Marketing"/>
    <n v="1"/>
    <n v="1318"/>
    <x v="2"/>
    <s v="Male"/>
    <n v="57"/>
    <n v="2"/>
    <n v="3"/>
    <x v="0"/>
    <x v="1"/>
    <s v="Single"/>
    <n v="9094"/>
    <n v="17235"/>
    <n v="2"/>
    <s v="Y"/>
    <x v="0"/>
    <n v="12"/>
    <n v="3"/>
    <n v="3"/>
    <n v="80"/>
    <n v="0"/>
    <n v="9"/>
    <n v="2"/>
    <x v="1"/>
    <x v="8"/>
    <n v="4"/>
    <n v="1"/>
    <n v="0"/>
  </r>
  <r>
    <n v="52"/>
    <x v="0"/>
    <s v="Travel_Rarely"/>
    <n v="1030"/>
    <x v="0"/>
    <n v="5"/>
    <n v="3"/>
    <s v="Life Sciences"/>
    <n v="1"/>
    <n v="1319"/>
    <x v="0"/>
    <s v="Male"/>
    <n v="64"/>
    <n v="3"/>
    <n v="3"/>
    <x v="0"/>
    <x v="1"/>
    <s v="Single"/>
    <n v="8446"/>
    <n v="21534"/>
    <n v="9"/>
    <s v="Y"/>
    <x v="0"/>
    <n v="19"/>
    <n v="3"/>
    <n v="3"/>
    <n v="80"/>
    <n v="0"/>
    <n v="10"/>
    <n v="2"/>
    <x v="2"/>
    <x v="3"/>
    <n v="7"/>
    <n v="7"/>
    <n v="7"/>
  </r>
  <r>
    <n v="30"/>
    <x v="1"/>
    <s v="Travel_Rarely"/>
    <n v="634"/>
    <x v="1"/>
    <n v="17"/>
    <n v="4"/>
    <s v="Medical"/>
    <n v="1"/>
    <n v="1321"/>
    <x v="0"/>
    <s v="Female"/>
    <n v="95"/>
    <n v="3"/>
    <n v="3"/>
    <x v="5"/>
    <x v="3"/>
    <s v="Married"/>
    <n v="11916"/>
    <n v="25927"/>
    <n v="1"/>
    <s v="Y"/>
    <x v="0"/>
    <n v="23"/>
    <n v="4"/>
    <n v="4"/>
    <n v="80"/>
    <n v="2"/>
    <n v="9"/>
    <n v="2"/>
    <x v="1"/>
    <x v="7"/>
    <n v="1"/>
    <n v="0"/>
    <n v="8"/>
  </r>
  <r>
    <n v="39"/>
    <x v="1"/>
    <s v="Travel_Rarely"/>
    <n v="524"/>
    <x v="1"/>
    <n v="18"/>
    <n v="2"/>
    <s v="Life Sciences"/>
    <n v="1"/>
    <n v="1322"/>
    <x v="3"/>
    <s v="Male"/>
    <n v="32"/>
    <n v="3"/>
    <n v="2"/>
    <x v="3"/>
    <x v="2"/>
    <s v="Single"/>
    <n v="4534"/>
    <n v="13352"/>
    <n v="0"/>
    <s v="Y"/>
    <x v="1"/>
    <n v="11"/>
    <n v="3"/>
    <n v="1"/>
    <n v="80"/>
    <n v="0"/>
    <n v="9"/>
    <n v="6"/>
    <x v="1"/>
    <x v="3"/>
    <n v="7"/>
    <n v="1"/>
    <n v="7"/>
  </r>
  <r>
    <n v="31"/>
    <x v="1"/>
    <s v="Non-Travel"/>
    <n v="587"/>
    <x v="0"/>
    <n v="2"/>
    <n v="4"/>
    <s v="Life Sciences"/>
    <n v="1"/>
    <n v="1324"/>
    <x v="2"/>
    <s v="Female"/>
    <n v="57"/>
    <n v="3"/>
    <n v="3"/>
    <x v="0"/>
    <x v="2"/>
    <s v="Divorced"/>
    <n v="9852"/>
    <n v="8935"/>
    <n v="1"/>
    <s v="Y"/>
    <x v="0"/>
    <n v="19"/>
    <n v="3"/>
    <n v="1"/>
    <n v="80"/>
    <n v="1"/>
    <n v="10"/>
    <n v="5"/>
    <x v="2"/>
    <x v="1"/>
    <n v="8"/>
    <n v="9"/>
    <n v="6"/>
  </r>
  <r>
    <n v="41"/>
    <x v="1"/>
    <s v="Non-Travel"/>
    <n v="256"/>
    <x v="0"/>
    <n v="10"/>
    <n v="2"/>
    <s v="Medical"/>
    <n v="1"/>
    <n v="1329"/>
    <x v="1"/>
    <s v="Male"/>
    <n v="40"/>
    <n v="1"/>
    <n v="2"/>
    <x v="0"/>
    <x v="1"/>
    <s v="Single"/>
    <n v="6151"/>
    <n v="22074"/>
    <n v="1"/>
    <s v="Y"/>
    <x v="1"/>
    <n v="13"/>
    <n v="3"/>
    <n v="1"/>
    <n v="80"/>
    <n v="0"/>
    <n v="19"/>
    <n v="4"/>
    <x v="1"/>
    <x v="27"/>
    <n v="2"/>
    <n v="11"/>
    <n v="9"/>
  </r>
  <r>
    <n v="31"/>
    <x v="0"/>
    <s v="Travel_Frequently"/>
    <n v="1060"/>
    <x v="0"/>
    <n v="1"/>
    <n v="3"/>
    <s v="Life Sciences"/>
    <n v="1"/>
    <n v="1331"/>
    <x v="2"/>
    <s v="Female"/>
    <n v="54"/>
    <n v="3"/>
    <n v="1"/>
    <x v="6"/>
    <x v="1"/>
    <s v="Single"/>
    <n v="2302"/>
    <n v="8319"/>
    <n v="1"/>
    <s v="Y"/>
    <x v="0"/>
    <n v="11"/>
    <n v="3"/>
    <n v="1"/>
    <n v="80"/>
    <n v="0"/>
    <n v="3"/>
    <n v="2"/>
    <x v="3"/>
    <x v="11"/>
    <n v="2"/>
    <n v="2"/>
    <n v="2"/>
  </r>
  <r>
    <n v="44"/>
    <x v="0"/>
    <s v="Travel_Rarely"/>
    <n v="935"/>
    <x v="1"/>
    <n v="3"/>
    <n v="3"/>
    <s v="Life Sciences"/>
    <n v="1"/>
    <n v="1333"/>
    <x v="3"/>
    <s v="Male"/>
    <n v="89"/>
    <n v="3"/>
    <n v="1"/>
    <x v="2"/>
    <x v="3"/>
    <s v="Married"/>
    <n v="2362"/>
    <n v="14669"/>
    <n v="4"/>
    <s v="Y"/>
    <x v="1"/>
    <n v="12"/>
    <n v="3"/>
    <n v="3"/>
    <n v="80"/>
    <n v="0"/>
    <n v="10"/>
    <n v="4"/>
    <x v="3"/>
    <x v="11"/>
    <n v="2"/>
    <n v="1"/>
    <n v="2"/>
  </r>
  <r>
    <n v="42"/>
    <x v="1"/>
    <s v="Non-Travel"/>
    <n v="495"/>
    <x v="1"/>
    <n v="2"/>
    <n v="1"/>
    <s v="Life Sciences"/>
    <n v="1"/>
    <n v="1334"/>
    <x v="1"/>
    <s v="Male"/>
    <n v="37"/>
    <n v="3"/>
    <n v="4"/>
    <x v="5"/>
    <x v="2"/>
    <s v="Married"/>
    <n v="17861"/>
    <n v="26582"/>
    <n v="0"/>
    <s v="Y"/>
    <x v="0"/>
    <n v="13"/>
    <n v="3"/>
    <n v="4"/>
    <n v="80"/>
    <n v="0"/>
    <n v="21"/>
    <n v="3"/>
    <x v="2"/>
    <x v="23"/>
    <n v="8"/>
    <n v="2"/>
    <n v="10"/>
  </r>
  <r>
    <n v="55"/>
    <x v="1"/>
    <s v="Travel_Rarely"/>
    <n v="282"/>
    <x v="1"/>
    <n v="2"/>
    <n v="2"/>
    <s v="Medical"/>
    <n v="1"/>
    <n v="1336"/>
    <x v="2"/>
    <s v="Female"/>
    <n v="58"/>
    <n v="1"/>
    <n v="5"/>
    <x v="5"/>
    <x v="2"/>
    <s v="Married"/>
    <n v="19187"/>
    <n v="6992"/>
    <n v="4"/>
    <s v="Y"/>
    <x v="1"/>
    <n v="14"/>
    <n v="3"/>
    <n v="4"/>
    <n v="80"/>
    <n v="1"/>
    <n v="23"/>
    <n v="5"/>
    <x v="1"/>
    <x v="27"/>
    <n v="9"/>
    <n v="9"/>
    <n v="11"/>
  </r>
  <r>
    <n v="56"/>
    <x v="1"/>
    <s v="Travel_Rarely"/>
    <n v="206"/>
    <x v="2"/>
    <n v="8"/>
    <n v="4"/>
    <s v="Life Sciences"/>
    <n v="1"/>
    <n v="1338"/>
    <x v="2"/>
    <s v="Male"/>
    <n v="99"/>
    <n v="3"/>
    <n v="5"/>
    <x v="5"/>
    <x v="1"/>
    <s v="Single"/>
    <n v="19717"/>
    <n v="4022"/>
    <n v="6"/>
    <s v="Y"/>
    <x v="1"/>
    <n v="14"/>
    <n v="3"/>
    <n v="1"/>
    <n v="80"/>
    <n v="0"/>
    <n v="36"/>
    <n v="4"/>
    <x v="1"/>
    <x v="5"/>
    <n v="3"/>
    <n v="7"/>
    <n v="7"/>
  </r>
  <r>
    <n v="40"/>
    <x v="1"/>
    <s v="Non-Travel"/>
    <n v="458"/>
    <x v="1"/>
    <n v="16"/>
    <n v="2"/>
    <s v="Life Sciences"/>
    <n v="1"/>
    <n v="1340"/>
    <x v="1"/>
    <s v="Male"/>
    <n v="74"/>
    <n v="3"/>
    <n v="1"/>
    <x v="1"/>
    <x v="2"/>
    <s v="Divorced"/>
    <n v="3544"/>
    <n v="8532"/>
    <n v="9"/>
    <s v="Y"/>
    <x v="1"/>
    <n v="16"/>
    <n v="3"/>
    <n v="2"/>
    <n v="80"/>
    <n v="1"/>
    <n v="6"/>
    <n v="0"/>
    <x v="1"/>
    <x v="9"/>
    <n v="2"/>
    <n v="0"/>
    <n v="0"/>
  </r>
  <r>
    <n v="34"/>
    <x v="1"/>
    <s v="Travel_Rarely"/>
    <n v="943"/>
    <x v="1"/>
    <n v="9"/>
    <n v="3"/>
    <s v="Life Sciences"/>
    <n v="1"/>
    <n v="1344"/>
    <x v="2"/>
    <s v="Male"/>
    <n v="86"/>
    <n v="3"/>
    <n v="3"/>
    <x v="4"/>
    <x v="0"/>
    <s v="Divorced"/>
    <n v="8500"/>
    <n v="5494"/>
    <n v="0"/>
    <s v="Y"/>
    <x v="1"/>
    <n v="11"/>
    <n v="3"/>
    <n v="4"/>
    <n v="80"/>
    <n v="1"/>
    <n v="10"/>
    <n v="0"/>
    <x v="2"/>
    <x v="7"/>
    <n v="7"/>
    <n v="1"/>
    <n v="6"/>
  </r>
  <r>
    <n v="40"/>
    <x v="1"/>
    <s v="Travel_Rarely"/>
    <n v="523"/>
    <x v="1"/>
    <n v="2"/>
    <n v="3"/>
    <s v="Life Sciences"/>
    <n v="1"/>
    <n v="1346"/>
    <x v="1"/>
    <s v="Male"/>
    <n v="98"/>
    <n v="3"/>
    <n v="2"/>
    <x v="1"/>
    <x v="0"/>
    <s v="Single"/>
    <n v="4661"/>
    <n v="22455"/>
    <n v="1"/>
    <s v="Y"/>
    <x v="1"/>
    <n v="13"/>
    <n v="3"/>
    <n v="3"/>
    <n v="80"/>
    <n v="0"/>
    <n v="9"/>
    <n v="4"/>
    <x v="1"/>
    <x v="7"/>
    <n v="8"/>
    <n v="8"/>
    <n v="8"/>
  </r>
  <r>
    <n v="41"/>
    <x v="1"/>
    <s v="Travel_Frequently"/>
    <n v="1018"/>
    <x v="0"/>
    <n v="1"/>
    <n v="3"/>
    <s v="Marketing"/>
    <n v="1"/>
    <n v="1349"/>
    <x v="1"/>
    <s v="Female"/>
    <n v="66"/>
    <n v="3"/>
    <n v="2"/>
    <x v="0"/>
    <x v="3"/>
    <s v="Divorced"/>
    <n v="4103"/>
    <n v="4297"/>
    <n v="0"/>
    <s v="Y"/>
    <x v="1"/>
    <n v="17"/>
    <n v="3"/>
    <n v="4"/>
    <n v="80"/>
    <n v="1"/>
    <n v="10"/>
    <n v="2"/>
    <x v="1"/>
    <x v="7"/>
    <n v="3"/>
    <n v="1"/>
    <n v="7"/>
  </r>
  <r>
    <n v="35"/>
    <x v="1"/>
    <s v="Travel_Frequently"/>
    <n v="482"/>
    <x v="1"/>
    <n v="4"/>
    <n v="4"/>
    <s v="Life Sciences"/>
    <n v="1"/>
    <n v="1350"/>
    <x v="1"/>
    <s v="Male"/>
    <n v="87"/>
    <n v="3"/>
    <n v="2"/>
    <x v="1"/>
    <x v="2"/>
    <s v="Single"/>
    <n v="4249"/>
    <n v="2690"/>
    <n v="1"/>
    <s v="Y"/>
    <x v="0"/>
    <n v="11"/>
    <n v="3"/>
    <n v="2"/>
    <n v="80"/>
    <n v="0"/>
    <n v="9"/>
    <n v="3"/>
    <x v="1"/>
    <x v="7"/>
    <n v="6"/>
    <n v="1"/>
    <n v="1"/>
  </r>
  <r>
    <n v="51"/>
    <x v="1"/>
    <s v="Travel_Rarely"/>
    <n v="770"/>
    <x v="2"/>
    <n v="5"/>
    <n v="3"/>
    <s v="Life Sciences"/>
    <n v="1"/>
    <n v="1352"/>
    <x v="1"/>
    <s v="Male"/>
    <n v="84"/>
    <n v="3"/>
    <n v="4"/>
    <x v="5"/>
    <x v="1"/>
    <s v="Divorced"/>
    <n v="14026"/>
    <n v="17588"/>
    <n v="1"/>
    <s v="Y"/>
    <x v="0"/>
    <n v="11"/>
    <n v="3"/>
    <n v="2"/>
    <n v="80"/>
    <n v="1"/>
    <n v="33"/>
    <n v="2"/>
    <x v="1"/>
    <x v="26"/>
    <n v="9"/>
    <n v="0"/>
    <n v="10"/>
  </r>
  <r>
    <n v="38"/>
    <x v="1"/>
    <s v="Travel_Rarely"/>
    <n v="1009"/>
    <x v="0"/>
    <n v="2"/>
    <n v="2"/>
    <s v="Life Sciences"/>
    <n v="1"/>
    <n v="1355"/>
    <x v="0"/>
    <s v="Female"/>
    <n v="31"/>
    <n v="3"/>
    <n v="2"/>
    <x v="0"/>
    <x v="3"/>
    <s v="Divorced"/>
    <n v="6893"/>
    <n v="19461"/>
    <n v="3"/>
    <s v="Y"/>
    <x v="1"/>
    <n v="15"/>
    <n v="3"/>
    <n v="4"/>
    <n v="80"/>
    <n v="1"/>
    <n v="11"/>
    <n v="3"/>
    <x v="1"/>
    <x v="5"/>
    <n v="7"/>
    <n v="1"/>
    <n v="7"/>
  </r>
  <r>
    <n v="34"/>
    <x v="1"/>
    <s v="Travel_Rarely"/>
    <n v="507"/>
    <x v="0"/>
    <n v="15"/>
    <n v="2"/>
    <s v="Medical"/>
    <n v="1"/>
    <n v="1356"/>
    <x v="1"/>
    <s v="Female"/>
    <n v="66"/>
    <n v="3"/>
    <n v="2"/>
    <x v="0"/>
    <x v="3"/>
    <s v="Single"/>
    <n v="6125"/>
    <n v="23553"/>
    <n v="1"/>
    <s v="Y"/>
    <x v="1"/>
    <n v="12"/>
    <n v="3"/>
    <n v="4"/>
    <n v="80"/>
    <n v="0"/>
    <n v="10"/>
    <n v="6"/>
    <x v="3"/>
    <x v="1"/>
    <n v="8"/>
    <n v="9"/>
    <n v="6"/>
  </r>
  <r>
    <n v="25"/>
    <x v="1"/>
    <s v="Travel_Rarely"/>
    <n v="882"/>
    <x v="1"/>
    <n v="19"/>
    <n v="1"/>
    <s v="Medical"/>
    <n v="1"/>
    <n v="1358"/>
    <x v="2"/>
    <s v="Male"/>
    <n v="67"/>
    <n v="3"/>
    <n v="1"/>
    <x v="2"/>
    <x v="0"/>
    <s v="Married"/>
    <n v="3669"/>
    <n v="9075"/>
    <n v="3"/>
    <s v="Y"/>
    <x v="1"/>
    <n v="11"/>
    <n v="3"/>
    <n v="3"/>
    <n v="80"/>
    <n v="3"/>
    <n v="7"/>
    <n v="6"/>
    <x v="2"/>
    <x v="11"/>
    <n v="2"/>
    <n v="1"/>
    <n v="2"/>
  </r>
  <r>
    <n v="58"/>
    <x v="0"/>
    <s v="Travel_Rarely"/>
    <n v="601"/>
    <x v="1"/>
    <n v="7"/>
    <n v="4"/>
    <s v="Medical"/>
    <n v="1"/>
    <n v="1360"/>
    <x v="1"/>
    <s v="Female"/>
    <n v="53"/>
    <n v="2"/>
    <n v="3"/>
    <x v="3"/>
    <x v="3"/>
    <s v="Married"/>
    <n v="10008"/>
    <n v="12023"/>
    <n v="7"/>
    <s v="Y"/>
    <x v="0"/>
    <n v="14"/>
    <n v="3"/>
    <n v="4"/>
    <n v="80"/>
    <n v="0"/>
    <n v="31"/>
    <n v="0"/>
    <x v="2"/>
    <x v="1"/>
    <n v="9"/>
    <n v="5"/>
    <n v="9"/>
  </r>
  <r>
    <n v="40"/>
    <x v="1"/>
    <s v="Travel_Rarely"/>
    <n v="329"/>
    <x v="1"/>
    <n v="1"/>
    <n v="4"/>
    <s v="Life Sciences"/>
    <n v="1"/>
    <n v="1361"/>
    <x v="0"/>
    <s v="Male"/>
    <n v="88"/>
    <n v="3"/>
    <n v="1"/>
    <x v="2"/>
    <x v="1"/>
    <s v="Married"/>
    <n v="2387"/>
    <n v="6762"/>
    <n v="3"/>
    <s v="Y"/>
    <x v="1"/>
    <n v="22"/>
    <n v="4"/>
    <n v="3"/>
    <n v="80"/>
    <n v="1"/>
    <n v="7"/>
    <n v="3"/>
    <x v="1"/>
    <x v="9"/>
    <n v="2"/>
    <n v="0"/>
    <n v="3"/>
  </r>
  <r>
    <n v="36"/>
    <x v="1"/>
    <s v="Travel_Frequently"/>
    <n v="607"/>
    <x v="0"/>
    <n v="7"/>
    <n v="3"/>
    <s v="Marketing"/>
    <n v="1"/>
    <n v="1362"/>
    <x v="3"/>
    <s v="Female"/>
    <n v="83"/>
    <n v="4"/>
    <n v="2"/>
    <x v="0"/>
    <x v="3"/>
    <s v="Married"/>
    <n v="4639"/>
    <n v="2261"/>
    <n v="2"/>
    <s v="Y"/>
    <x v="1"/>
    <n v="16"/>
    <n v="3"/>
    <n v="4"/>
    <n v="80"/>
    <n v="1"/>
    <n v="17"/>
    <n v="2"/>
    <x v="2"/>
    <x v="15"/>
    <n v="7"/>
    <n v="6"/>
    <n v="13"/>
  </r>
  <r>
    <n v="48"/>
    <x v="1"/>
    <s v="Travel_Rarely"/>
    <n v="855"/>
    <x v="1"/>
    <n v="4"/>
    <n v="3"/>
    <s v="Life Sciences"/>
    <n v="1"/>
    <n v="1363"/>
    <x v="2"/>
    <s v="Male"/>
    <n v="54"/>
    <n v="3"/>
    <n v="3"/>
    <x v="3"/>
    <x v="0"/>
    <s v="Single"/>
    <n v="7898"/>
    <n v="18706"/>
    <n v="1"/>
    <s v="Y"/>
    <x v="1"/>
    <n v="11"/>
    <n v="3"/>
    <n v="3"/>
    <n v="80"/>
    <n v="0"/>
    <n v="11"/>
    <n v="2"/>
    <x v="1"/>
    <x v="1"/>
    <n v="9"/>
    <n v="0"/>
    <n v="8"/>
  </r>
  <r>
    <n v="27"/>
    <x v="1"/>
    <s v="Travel_Rarely"/>
    <n v="1291"/>
    <x v="0"/>
    <n v="11"/>
    <n v="3"/>
    <s v="Medical"/>
    <n v="1"/>
    <n v="1364"/>
    <x v="1"/>
    <s v="Female"/>
    <n v="98"/>
    <n v="4"/>
    <n v="1"/>
    <x v="6"/>
    <x v="0"/>
    <s v="Married"/>
    <n v="2534"/>
    <n v="6527"/>
    <n v="8"/>
    <s v="Y"/>
    <x v="1"/>
    <n v="14"/>
    <n v="3"/>
    <n v="2"/>
    <n v="80"/>
    <n v="1"/>
    <n v="5"/>
    <n v="4"/>
    <x v="1"/>
    <x v="6"/>
    <n v="0"/>
    <n v="0"/>
    <n v="0"/>
  </r>
  <r>
    <n v="51"/>
    <x v="1"/>
    <s v="Travel_Rarely"/>
    <n v="1405"/>
    <x v="1"/>
    <n v="11"/>
    <n v="2"/>
    <s v="Technical Degree"/>
    <n v="1"/>
    <n v="1367"/>
    <x v="2"/>
    <s v="Female"/>
    <n v="82"/>
    <n v="2"/>
    <n v="4"/>
    <x v="3"/>
    <x v="1"/>
    <s v="Single"/>
    <n v="13142"/>
    <n v="24439"/>
    <n v="3"/>
    <s v="Y"/>
    <x v="1"/>
    <n v="16"/>
    <n v="3"/>
    <n v="2"/>
    <n v="80"/>
    <n v="0"/>
    <n v="29"/>
    <n v="1"/>
    <x v="2"/>
    <x v="8"/>
    <n v="2"/>
    <n v="0"/>
    <n v="3"/>
  </r>
  <r>
    <n v="18"/>
    <x v="1"/>
    <s v="Non-Travel"/>
    <n v="1124"/>
    <x v="1"/>
    <n v="1"/>
    <n v="3"/>
    <s v="Life Sciences"/>
    <n v="1"/>
    <n v="1368"/>
    <x v="2"/>
    <s v="Female"/>
    <n v="97"/>
    <n v="3"/>
    <n v="1"/>
    <x v="2"/>
    <x v="0"/>
    <s v="Single"/>
    <n v="1611"/>
    <n v="19305"/>
    <n v="1"/>
    <s v="Y"/>
    <x v="1"/>
    <n v="15"/>
    <n v="3"/>
    <n v="3"/>
    <n v="80"/>
    <n v="0"/>
    <n v="0"/>
    <n v="5"/>
    <x v="3"/>
    <x v="2"/>
    <n v="0"/>
    <n v="0"/>
    <n v="0"/>
  </r>
  <r>
    <n v="35"/>
    <x v="1"/>
    <s v="Travel_Rarely"/>
    <n v="817"/>
    <x v="1"/>
    <n v="1"/>
    <n v="3"/>
    <s v="Medical"/>
    <n v="1"/>
    <n v="1369"/>
    <x v="2"/>
    <s v="Female"/>
    <n v="60"/>
    <n v="2"/>
    <n v="2"/>
    <x v="2"/>
    <x v="0"/>
    <s v="Married"/>
    <n v="5363"/>
    <n v="10846"/>
    <n v="0"/>
    <s v="Y"/>
    <x v="1"/>
    <n v="12"/>
    <n v="3"/>
    <n v="2"/>
    <n v="80"/>
    <n v="1"/>
    <n v="10"/>
    <n v="0"/>
    <x v="1"/>
    <x v="7"/>
    <n v="7"/>
    <n v="0"/>
    <n v="0"/>
  </r>
  <r>
    <n v="27"/>
    <x v="1"/>
    <s v="Travel_Frequently"/>
    <n v="793"/>
    <x v="0"/>
    <n v="2"/>
    <n v="1"/>
    <s v="Life Sciences"/>
    <n v="1"/>
    <n v="1371"/>
    <x v="2"/>
    <s v="Male"/>
    <n v="43"/>
    <n v="1"/>
    <n v="2"/>
    <x v="0"/>
    <x v="0"/>
    <s v="Single"/>
    <n v="5071"/>
    <n v="20392"/>
    <n v="3"/>
    <s v="Y"/>
    <x v="1"/>
    <n v="20"/>
    <n v="4"/>
    <n v="2"/>
    <n v="80"/>
    <n v="0"/>
    <n v="8"/>
    <n v="3"/>
    <x v="1"/>
    <x v="0"/>
    <n v="2"/>
    <n v="0"/>
    <n v="0"/>
  </r>
  <r>
    <n v="55"/>
    <x v="0"/>
    <s v="Travel_Rarely"/>
    <n v="267"/>
    <x v="0"/>
    <n v="13"/>
    <n v="4"/>
    <s v="Marketing"/>
    <n v="1"/>
    <n v="1372"/>
    <x v="3"/>
    <s v="Male"/>
    <n v="85"/>
    <n v="4"/>
    <n v="4"/>
    <x v="0"/>
    <x v="2"/>
    <s v="Single"/>
    <n v="13695"/>
    <n v="9277"/>
    <n v="6"/>
    <s v="Y"/>
    <x v="0"/>
    <n v="17"/>
    <n v="3"/>
    <n v="3"/>
    <n v="80"/>
    <n v="0"/>
    <n v="24"/>
    <n v="2"/>
    <x v="2"/>
    <x v="27"/>
    <n v="7"/>
    <n v="3"/>
    <n v="8"/>
  </r>
  <r>
    <n v="56"/>
    <x v="1"/>
    <s v="Travel_Rarely"/>
    <n v="1369"/>
    <x v="1"/>
    <n v="23"/>
    <n v="3"/>
    <s v="Life Sciences"/>
    <n v="1"/>
    <n v="1373"/>
    <x v="2"/>
    <s v="Male"/>
    <n v="68"/>
    <n v="3"/>
    <n v="4"/>
    <x v="3"/>
    <x v="1"/>
    <s v="Married"/>
    <n v="13402"/>
    <n v="18235"/>
    <n v="4"/>
    <s v="Y"/>
    <x v="0"/>
    <n v="12"/>
    <n v="3"/>
    <n v="1"/>
    <n v="80"/>
    <n v="1"/>
    <n v="33"/>
    <n v="0"/>
    <x v="1"/>
    <x v="27"/>
    <n v="16"/>
    <n v="15"/>
    <n v="9"/>
  </r>
  <r>
    <n v="34"/>
    <x v="1"/>
    <s v="Non-Travel"/>
    <n v="999"/>
    <x v="1"/>
    <n v="26"/>
    <n v="1"/>
    <s v="Technical Degree"/>
    <n v="1"/>
    <n v="1374"/>
    <x v="3"/>
    <s v="Female"/>
    <n v="92"/>
    <n v="2"/>
    <n v="1"/>
    <x v="1"/>
    <x v="2"/>
    <s v="Divorced"/>
    <n v="2029"/>
    <n v="15891"/>
    <n v="1"/>
    <s v="Y"/>
    <x v="1"/>
    <n v="20"/>
    <n v="4"/>
    <n v="3"/>
    <n v="80"/>
    <n v="3"/>
    <n v="5"/>
    <n v="2"/>
    <x v="1"/>
    <x v="8"/>
    <n v="4"/>
    <n v="0"/>
    <n v="0"/>
  </r>
  <r>
    <n v="40"/>
    <x v="1"/>
    <s v="Travel_Rarely"/>
    <n v="1202"/>
    <x v="1"/>
    <n v="2"/>
    <n v="1"/>
    <s v="Medical"/>
    <n v="1"/>
    <n v="1375"/>
    <x v="0"/>
    <s v="Female"/>
    <n v="89"/>
    <n v="4"/>
    <n v="2"/>
    <x v="4"/>
    <x v="2"/>
    <s v="Divorced"/>
    <n v="6377"/>
    <n v="13888"/>
    <n v="5"/>
    <s v="Y"/>
    <x v="1"/>
    <n v="20"/>
    <n v="4"/>
    <n v="2"/>
    <n v="80"/>
    <n v="3"/>
    <n v="15"/>
    <n v="0"/>
    <x v="1"/>
    <x v="12"/>
    <n v="11"/>
    <n v="11"/>
    <n v="8"/>
  </r>
  <r>
    <n v="34"/>
    <x v="1"/>
    <s v="Travel_Rarely"/>
    <n v="285"/>
    <x v="1"/>
    <n v="29"/>
    <n v="3"/>
    <s v="Medical"/>
    <n v="1"/>
    <n v="1377"/>
    <x v="0"/>
    <s v="Male"/>
    <n v="86"/>
    <n v="3"/>
    <n v="2"/>
    <x v="2"/>
    <x v="2"/>
    <s v="Married"/>
    <n v="5429"/>
    <n v="17491"/>
    <n v="4"/>
    <s v="Y"/>
    <x v="1"/>
    <n v="13"/>
    <n v="3"/>
    <n v="1"/>
    <n v="80"/>
    <n v="2"/>
    <n v="10"/>
    <n v="1"/>
    <x v="1"/>
    <x v="3"/>
    <n v="7"/>
    <n v="7"/>
    <n v="7"/>
  </r>
  <r>
    <n v="31"/>
    <x v="0"/>
    <s v="Travel_Frequently"/>
    <n v="703"/>
    <x v="0"/>
    <n v="2"/>
    <n v="3"/>
    <s v="Life Sciences"/>
    <n v="1"/>
    <n v="1379"/>
    <x v="1"/>
    <s v="Female"/>
    <n v="90"/>
    <n v="2"/>
    <n v="1"/>
    <x v="6"/>
    <x v="0"/>
    <s v="Single"/>
    <n v="2785"/>
    <n v="11882"/>
    <n v="7"/>
    <s v="Y"/>
    <x v="1"/>
    <n v="14"/>
    <n v="3"/>
    <n v="3"/>
    <n v="80"/>
    <n v="0"/>
    <n v="3"/>
    <n v="3"/>
    <x v="3"/>
    <x v="6"/>
    <n v="0"/>
    <n v="0"/>
    <n v="0"/>
  </r>
  <r>
    <n v="35"/>
    <x v="0"/>
    <s v="Travel_Frequently"/>
    <n v="662"/>
    <x v="0"/>
    <n v="18"/>
    <n v="4"/>
    <s v="Marketing"/>
    <n v="1"/>
    <n v="1380"/>
    <x v="2"/>
    <s v="Female"/>
    <n v="67"/>
    <n v="3"/>
    <n v="2"/>
    <x v="0"/>
    <x v="2"/>
    <s v="Married"/>
    <n v="4614"/>
    <n v="23288"/>
    <n v="0"/>
    <s v="Y"/>
    <x v="0"/>
    <n v="18"/>
    <n v="3"/>
    <n v="3"/>
    <n v="80"/>
    <n v="1"/>
    <n v="5"/>
    <n v="0"/>
    <x v="2"/>
    <x v="9"/>
    <n v="2"/>
    <n v="3"/>
    <n v="2"/>
  </r>
  <r>
    <n v="38"/>
    <x v="1"/>
    <s v="Travel_Frequently"/>
    <n v="693"/>
    <x v="1"/>
    <n v="7"/>
    <n v="3"/>
    <s v="Life Sciences"/>
    <n v="1"/>
    <n v="1382"/>
    <x v="2"/>
    <s v="Male"/>
    <n v="57"/>
    <n v="4"/>
    <n v="1"/>
    <x v="1"/>
    <x v="2"/>
    <s v="Divorced"/>
    <n v="2610"/>
    <n v="15748"/>
    <n v="1"/>
    <s v="Y"/>
    <x v="1"/>
    <n v="11"/>
    <n v="3"/>
    <n v="4"/>
    <n v="80"/>
    <n v="3"/>
    <n v="4"/>
    <n v="2"/>
    <x v="1"/>
    <x v="9"/>
    <n v="2"/>
    <n v="0"/>
    <n v="3"/>
  </r>
  <r>
    <n v="34"/>
    <x v="1"/>
    <s v="Travel_Rarely"/>
    <n v="404"/>
    <x v="1"/>
    <n v="2"/>
    <n v="4"/>
    <s v="Technical Degree"/>
    <n v="1"/>
    <n v="1383"/>
    <x v="1"/>
    <s v="Female"/>
    <n v="98"/>
    <n v="3"/>
    <n v="2"/>
    <x v="4"/>
    <x v="0"/>
    <s v="Single"/>
    <n v="6687"/>
    <n v="6163"/>
    <n v="1"/>
    <s v="Y"/>
    <x v="1"/>
    <n v="11"/>
    <n v="3"/>
    <n v="4"/>
    <n v="80"/>
    <n v="0"/>
    <n v="14"/>
    <n v="2"/>
    <x v="3"/>
    <x v="13"/>
    <n v="11"/>
    <n v="4"/>
    <n v="11"/>
  </r>
  <r>
    <n v="28"/>
    <x v="1"/>
    <s v="Travel_Rarely"/>
    <n v="736"/>
    <x v="0"/>
    <n v="26"/>
    <n v="3"/>
    <s v="Life Sciences"/>
    <n v="1"/>
    <n v="1387"/>
    <x v="1"/>
    <s v="Male"/>
    <n v="48"/>
    <n v="2"/>
    <n v="2"/>
    <x v="0"/>
    <x v="3"/>
    <s v="Married"/>
    <n v="4724"/>
    <n v="24232"/>
    <n v="1"/>
    <s v="Y"/>
    <x v="1"/>
    <n v="11"/>
    <n v="3"/>
    <n v="3"/>
    <n v="80"/>
    <n v="1"/>
    <n v="5"/>
    <n v="0"/>
    <x v="1"/>
    <x v="8"/>
    <n v="3"/>
    <n v="0"/>
    <n v="4"/>
  </r>
  <r>
    <n v="31"/>
    <x v="0"/>
    <s v="Travel_Rarely"/>
    <n v="330"/>
    <x v="1"/>
    <n v="22"/>
    <n v="4"/>
    <s v="Medical"/>
    <n v="1"/>
    <n v="1389"/>
    <x v="2"/>
    <s v="Male"/>
    <n v="98"/>
    <n v="3"/>
    <n v="2"/>
    <x v="3"/>
    <x v="2"/>
    <s v="Married"/>
    <n v="6179"/>
    <n v="21057"/>
    <n v="1"/>
    <s v="Y"/>
    <x v="0"/>
    <n v="15"/>
    <n v="3"/>
    <n v="4"/>
    <n v="80"/>
    <n v="2"/>
    <n v="10"/>
    <n v="3"/>
    <x v="2"/>
    <x v="1"/>
    <n v="2"/>
    <n v="6"/>
    <n v="7"/>
  </r>
  <r>
    <n v="39"/>
    <x v="1"/>
    <s v="Travel_Rarely"/>
    <n v="1498"/>
    <x v="0"/>
    <n v="21"/>
    <n v="4"/>
    <s v="Life Sciences"/>
    <n v="1"/>
    <n v="1390"/>
    <x v="3"/>
    <s v="Male"/>
    <n v="44"/>
    <n v="2"/>
    <n v="2"/>
    <x v="0"/>
    <x v="0"/>
    <s v="Married"/>
    <n v="6120"/>
    <n v="3567"/>
    <n v="3"/>
    <s v="Y"/>
    <x v="0"/>
    <n v="12"/>
    <n v="3"/>
    <n v="4"/>
    <n v="80"/>
    <n v="2"/>
    <n v="8"/>
    <n v="2"/>
    <x v="3"/>
    <x v="8"/>
    <n v="4"/>
    <n v="1"/>
    <n v="4"/>
  </r>
  <r>
    <n v="51"/>
    <x v="1"/>
    <s v="Travel_Frequently"/>
    <n v="541"/>
    <x v="0"/>
    <n v="2"/>
    <n v="3"/>
    <s v="Marketing"/>
    <n v="1"/>
    <n v="1391"/>
    <x v="0"/>
    <s v="Male"/>
    <n v="52"/>
    <n v="3"/>
    <n v="3"/>
    <x v="0"/>
    <x v="1"/>
    <s v="Married"/>
    <n v="10596"/>
    <n v="15395"/>
    <n v="2"/>
    <s v="Y"/>
    <x v="1"/>
    <n v="11"/>
    <n v="3"/>
    <n v="2"/>
    <n v="80"/>
    <n v="0"/>
    <n v="14"/>
    <n v="5"/>
    <x v="1"/>
    <x v="9"/>
    <n v="2"/>
    <n v="3"/>
    <n v="2"/>
  </r>
  <r>
    <n v="41"/>
    <x v="1"/>
    <s v="Travel_Frequently"/>
    <n v="1200"/>
    <x v="1"/>
    <n v="22"/>
    <n v="3"/>
    <s v="Life Sciences"/>
    <n v="1"/>
    <n v="1392"/>
    <x v="2"/>
    <s v="Female"/>
    <n v="75"/>
    <n v="3"/>
    <n v="2"/>
    <x v="1"/>
    <x v="0"/>
    <s v="Divorced"/>
    <n v="5467"/>
    <n v="13953"/>
    <n v="3"/>
    <s v="Y"/>
    <x v="0"/>
    <n v="14"/>
    <n v="3"/>
    <n v="1"/>
    <n v="80"/>
    <n v="2"/>
    <n v="12"/>
    <n v="4"/>
    <x v="2"/>
    <x v="0"/>
    <n v="2"/>
    <n v="3"/>
    <n v="3"/>
  </r>
  <r>
    <n v="37"/>
    <x v="1"/>
    <s v="Travel_Rarely"/>
    <n v="1439"/>
    <x v="1"/>
    <n v="4"/>
    <n v="1"/>
    <s v="Life Sciences"/>
    <n v="1"/>
    <n v="1394"/>
    <x v="1"/>
    <s v="Male"/>
    <n v="54"/>
    <n v="3"/>
    <n v="1"/>
    <x v="1"/>
    <x v="2"/>
    <s v="Married"/>
    <n v="2996"/>
    <n v="5182"/>
    <n v="7"/>
    <s v="Y"/>
    <x v="0"/>
    <n v="15"/>
    <n v="3"/>
    <n v="4"/>
    <n v="80"/>
    <n v="0"/>
    <n v="8"/>
    <n v="2"/>
    <x v="1"/>
    <x v="0"/>
    <n v="4"/>
    <n v="1"/>
    <n v="3"/>
  </r>
  <r>
    <n v="33"/>
    <x v="1"/>
    <s v="Travel_Frequently"/>
    <n v="1111"/>
    <x v="0"/>
    <n v="5"/>
    <n v="1"/>
    <s v="Life Sciences"/>
    <n v="1"/>
    <n v="1395"/>
    <x v="0"/>
    <s v="Male"/>
    <n v="61"/>
    <n v="3"/>
    <n v="2"/>
    <x v="0"/>
    <x v="0"/>
    <s v="Married"/>
    <n v="9998"/>
    <n v="19293"/>
    <n v="6"/>
    <s v="Y"/>
    <x v="1"/>
    <n v="13"/>
    <n v="3"/>
    <n v="1"/>
    <n v="80"/>
    <n v="0"/>
    <n v="8"/>
    <n v="2"/>
    <x v="3"/>
    <x v="8"/>
    <n v="4"/>
    <n v="1"/>
    <n v="2"/>
  </r>
  <r>
    <n v="32"/>
    <x v="1"/>
    <s v="Travel_Rarely"/>
    <n v="499"/>
    <x v="0"/>
    <n v="2"/>
    <n v="1"/>
    <s v="Marketing"/>
    <n v="1"/>
    <n v="1396"/>
    <x v="1"/>
    <s v="Male"/>
    <n v="36"/>
    <n v="3"/>
    <n v="2"/>
    <x v="0"/>
    <x v="1"/>
    <s v="Married"/>
    <n v="4078"/>
    <n v="20497"/>
    <n v="0"/>
    <s v="Y"/>
    <x v="0"/>
    <n v="13"/>
    <n v="3"/>
    <n v="1"/>
    <n v="80"/>
    <n v="3"/>
    <n v="4"/>
    <n v="3"/>
    <x v="2"/>
    <x v="11"/>
    <n v="2"/>
    <n v="1"/>
    <n v="2"/>
  </r>
  <r>
    <n v="39"/>
    <x v="1"/>
    <s v="Non-Travel"/>
    <n v="1485"/>
    <x v="1"/>
    <n v="25"/>
    <n v="2"/>
    <s v="Life Sciences"/>
    <n v="1"/>
    <n v="1397"/>
    <x v="1"/>
    <s v="Male"/>
    <n v="71"/>
    <n v="3"/>
    <n v="3"/>
    <x v="4"/>
    <x v="2"/>
    <s v="Married"/>
    <n v="10920"/>
    <n v="3449"/>
    <n v="3"/>
    <s v="Y"/>
    <x v="1"/>
    <n v="21"/>
    <n v="4"/>
    <n v="2"/>
    <n v="80"/>
    <n v="1"/>
    <n v="13"/>
    <n v="2"/>
    <x v="1"/>
    <x v="0"/>
    <n v="4"/>
    <n v="0"/>
    <n v="5"/>
  </r>
  <r>
    <n v="25"/>
    <x v="1"/>
    <s v="Travel_Rarely"/>
    <n v="1372"/>
    <x v="0"/>
    <n v="18"/>
    <n v="1"/>
    <s v="Life Sciences"/>
    <n v="1"/>
    <n v="1399"/>
    <x v="3"/>
    <s v="Male"/>
    <n v="93"/>
    <n v="4"/>
    <n v="2"/>
    <x v="0"/>
    <x v="2"/>
    <s v="Married"/>
    <n v="6232"/>
    <n v="12477"/>
    <n v="2"/>
    <s v="Y"/>
    <x v="1"/>
    <n v="11"/>
    <n v="3"/>
    <n v="2"/>
    <n v="80"/>
    <n v="0"/>
    <n v="6"/>
    <n v="3"/>
    <x v="2"/>
    <x v="11"/>
    <n v="2"/>
    <n v="1"/>
    <n v="2"/>
  </r>
  <r>
    <n v="52"/>
    <x v="1"/>
    <s v="Travel_Frequently"/>
    <n v="322"/>
    <x v="1"/>
    <n v="28"/>
    <n v="2"/>
    <s v="Medical"/>
    <n v="1"/>
    <n v="1401"/>
    <x v="2"/>
    <s v="Female"/>
    <n v="59"/>
    <n v="4"/>
    <n v="4"/>
    <x v="3"/>
    <x v="2"/>
    <s v="Married"/>
    <n v="13247"/>
    <n v="9731"/>
    <n v="2"/>
    <s v="Y"/>
    <x v="0"/>
    <n v="11"/>
    <n v="3"/>
    <n v="2"/>
    <n v="80"/>
    <n v="1"/>
    <n v="24"/>
    <n v="3"/>
    <x v="2"/>
    <x v="8"/>
    <n v="3"/>
    <n v="0"/>
    <n v="2"/>
  </r>
  <r>
    <n v="43"/>
    <x v="1"/>
    <s v="Travel_Rarely"/>
    <n v="930"/>
    <x v="1"/>
    <n v="6"/>
    <n v="3"/>
    <s v="Medical"/>
    <n v="1"/>
    <n v="1402"/>
    <x v="3"/>
    <s v="Female"/>
    <n v="73"/>
    <n v="2"/>
    <n v="2"/>
    <x v="1"/>
    <x v="2"/>
    <s v="Single"/>
    <n v="4081"/>
    <n v="20003"/>
    <n v="1"/>
    <s v="Y"/>
    <x v="0"/>
    <n v="14"/>
    <n v="3"/>
    <n v="1"/>
    <n v="80"/>
    <n v="0"/>
    <n v="20"/>
    <n v="3"/>
    <x v="0"/>
    <x v="23"/>
    <n v="7"/>
    <n v="1"/>
    <n v="8"/>
  </r>
  <r>
    <n v="27"/>
    <x v="1"/>
    <s v="Travel_Rarely"/>
    <n v="205"/>
    <x v="0"/>
    <n v="10"/>
    <n v="3"/>
    <s v="Marketing"/>
    <n v="1"/>
    <n v="1403"/>
    <x v="2"/>
    <s v="Female"/>
    <n v="98"/>
    <n v="2"/>
    <n v="2"/>
    <x v="0"/>
    <x v="0"/>
    <s v="Married"/>
    <n v="5769"/>
    <n v="7100"/>
    <n v="1"/>
    <s v="Y"/>
    <x v="0"/>
    <n v="11"/>
    <n v="3"/>
    <n v="4"/>
    <n v="80"/>
    <n v="0"/>
    <n v="6"/>
    <n v="3"/>
    <x v="1"/>
    <x v="0"/>
    <n v="2"/>
    <n v="4"/>
    <n v="4"/>
  </r>
  <r>
    <n v="27"/>
    <x v="0"/>
    <s v="Travel_Rarely"/>
    <n v="135"/>
    <x v="1"/>
    <n v="17"/>
    <n v="4"/>
    <s v="Life Sciences"/>
    <n v="1"/>
    <n v="1405"/>
    <x v="2"/>
    <s v="Female"/>
    <n v="51"/>
    <n v="3"/>
    <n v="1"/>
    <x v="1"/>
    <x v="2"/>
    <s v="Single"/>
    <n v="2394"/>
    <n v="25681"/>
    <n v="1"/>
    <s v="Y"/>
    <x v="0"/>
    <n v="13"/>
    <n v="3"/>
    <n v="4"/>
    <n v="80"/>
    <n v="0"/>
    <n v="8"/>
    <n v="2"/>
    <x v="1"/>
    <x v="3"/>
    <n v="2"/>
    <n v="7"/>
    <n v="7"/>
  </r>
  <r>
    <n v="26"/>
    <x v="1"/>
    <s v="Travel_Rarely"/>
    <n v="683"/>
    <x v="1"/>
    <n v="2"/>
    <n v="1"/>
    <s v="Medical"/>
    <n v="1"/>
    <n v="1407"/>
    <x v="3"/>
    <s v="Male"/>
    <n v="36"/>
    <n v="2"/>
    <n v="1"/>
    <x v="1"/>
    <x v="0"/>
    <s v="Single"/>
    <n v="3904"/>
    <n v="4050"/>
    <n v="0"/>
    <s v="Y"/>
    <x v="1"/>
    <n v="12"/>
    <n v="3"/>
    <n v="4"/>
    <n v="80"/>
    <n v="0"/>
    <n v="5"/>
    <n v="2"/>
    <x v="1"/>
    <x v="9"/>
    <n v="3"/>
    <n v="1"/>
    <n v="1"/>
  </r>
  <r>
    <n v="42"/>
    <x v="1"/>
    <s v="Travel_Rarely"/>
    <n v="1147"/>
    <x v="2"/>
    <n v="10"/>
    <n v="3"/>
    <s v="Human Resources"/>
    <n v="1"/>
    <n v="1408"/>
    <x v="1"/>
    <s v="Female"/>
    <n v="31"/>
    <n v="3"/>
    <n v="4"/>
    <x v="5"/>
    <x v="3"/>
    <s v="Married"/>
    <n v="16799"/>
    <n v="16616"/>
    <n v="0"/>
    <s v="Y"/>
    <x v="1"/>
    <n v="14"/>
    <n v="3"/>
    <n v="3"/>
    <n v="80"/>
    <n v="1"/>
    <n v="21"/>
    <n v="5"/>
    <x v="1"/>
    <x v="23"/>
    <n v="7"/>
    <n v="0"/>
    <n v="9"/>
  </r>
  <r>
    <n v="52"/>
    <x v="1"/>
    <s v="Travel_Rarely"/>
    <n v="258"/>
    <x v="1"/>
    <n v="8"/>
    <n v="4"/>
    <s v="Other"/>
    <n v="1"/>
    <n v="1409"/>
    <x v="1"/>
    <s v="Female"/>
    <n v="54"/>
    <n v="3"/>
    <n v="1"/>
    <x v="2"/>
    <x v="3"/>
    <s v="Married"/>
    <n v="2950"/>
    <n v="17363"/>
    <n v="9"/>
    <s v="Y"/>
    <x v="1"/>
    <n v="13"/>
    <n v="3"/>
    <n v="3"/>
    <n v="80"/>
    <n v="0"/>
    <n v="12"/>
    <n v="2"/>
    <x v="0"/>
    <x v="8"/>
    <n v="4"/>
    <n v="0"/>
    <n v="4"/>
  </r>
  <r>
    <n v="37"/>
    <x v="1"/>
    <s v="Travel_Rarely"/>
    <n v="1462"/>
    <x v="1"/>
    <n v="11"/>
    <n v="3"/>
    <s v="Medical"/>
    <n v="1"/>
    <n v="1411"/>
    <x v="3"/>
    <s v="Female"/>
    <n v="94"/>
    <n v="3"/>
    <n v="1"/>
    <x v="2"/>
    <x v="2"/>
    <s v="Single"/>
    <n v="3629"/>
    <n v="19106"/>
    <n v="4"/>
    <s v="Y"/>
    <x v="1"/>
    <n v="18"/>
    <n v="3"/>
    <n v="1"/>
    <n v="80"/>
    <n v="0"/>
    <n v="8"/>
    <n v="6"/>
    <x v="1"/>
    <x v="11"/>
    <n v="2"/>
    <n v="0"/>
    <n v="2"/>
  </r>
  <r>
    <n v="35"/>
    <x v="1"/>
    <s v="Travel_Frequently"/>
    <n v="200"/>
    <x v="1"/>
    <n v="18"/>
    <n v="2"/>
    <s v="Life Sciences"/>
    <n v="1"/>
    <n v="1412"/>
    <x v="1"/>
    <s v="Male"/>
    <n v="60"/>
    <n v="3"/>
    <n v="3"/>
    <x v="3"/>
    <x v="0"/>
    <s v="Single"/>
    <n v="9362"/>
    <n v="19944"/>
    <n v="2"/>
    <s v="Y"/>
    <x v="1"/>
    <n v="11"/>
    <n v="3"/>
    <n v="3"/>
    <n v="80"/>
    <n v="0"/>
    <n v="10"/>
    <n v="2"/>
    <x v="1"/>
    <x v="4"/>
    <n v="2"/>
    <n v="2"/>
    <n v="2"/>
  </r>
  <r>
    <n v="25"/>
    <x v="1"/>
    <s v="Travel_Rarely"/>
    <n v="949"/>
    <x v="1"/>
    <n v="1"/>
    <n v="3"/>
    <s v="Technical Degree"/>
    <n v="1"/>
    <n v="1415"/>
    <x v="3"/>
    <s v="Male"/>
    <n v="81"/>
    <n v="3"/>
    <n v="1"/>
    <x v="2"/>
    <x v="0"/>
    <s v="Married"/>
    <n v="3229"/>
    <n v="4910"/>
    <n v="4"/>
    <s v="Y"/>
    <x v="1"/>
    <n v="11"/>
    <n v="3"/>
    <n v="2"/>
    <n v="80"/>
    <n v="1"/>
    <n v="7"/>
    <n v="2"/>
    <x v="2"/>
    <x v="11"/>
    <n v="2"/>
    <n v="0"/>
    <n v="2"/>
  </r>
  <r>
    <n v="26"/>
    <x v="1"/>
    <s v="Travel_Rarely"/>
    <n v="652"/>
    <x v="1"/>
    <n v="7"/>
    <n v="3"/>
    <s v="Other"/>
    <n v="1"/>
    <n v="1417"/>
    <x v="1"/>
    <s v="Male"/>
    <n v="100"/>
    <n v="4"/>
    <n v="1"/>
    <x v="2"/>
    <x v="3"/>
    <s v="Single"/>
    <n v="3578"/>
    <n v="23577"/>
    <n v="0"/>
    <s v="Y"/>
    <x v="1"/>
    <n v="12"/>
    <n v="3"/>
    <n v="4"/>
    <n v="80"/>
    <n v="0"/>
    <n v="8"/>
    <n v="2"/>
    <x v="1"/>
    <x v="5"/>
    <n v="7"/>
    <n v="0"/>
    <n v="7"/>
  </r>
  <r>
    <n v="29"/>
    <x v="1"/>
    <s v="Travel_Rarely"/>
    <n v="332"/>
    <x v="2"/>
    <n v="17"/>
    <n v="3"/>
    <s v="Other"/>
    <n v="1"/>
    <n v="1419"/>
    <x v="0"/>
    <s v="Male"/>
    <n v="51"/>
    <n v="2"/>
    <n v="3"/>
    <x v="8"/>
    <x v="3"/>
    <s v="Single"/>
    <n v="7988"/>
    <n v="9769"/>
    <n v="1"/>
    <s v="Y"/>
    <x v="1"/>
    <n v="13"/>
    <n v="3"/>
    <n v="1"/>
    <n v="80"/>
    <n v="0"/>
    <n v="10"/>
    <n v="3"/>
    <x v="2"/>
    <x v="1"/>
    <n v="9"/>
    <n v="0"/>
    <n v="9"/>
  </r>
  <r>
    <n v="49"/>
    <x v="0"/>
    <s v="Travel_Frequently"/>
    <n v="1475"/>
    <x v="1"/>
    <n v="28"/>
    <n v="2"/>
    <s v="Life Sciences"/>
    <n v="1"/>
    <n v="1420"/>
    <x v="3"/>
    <s v="Male"/>
    <n v="97"/>
    <n v="2"/>
    <n v="2"/>
    <x v="2"/>
    <x v="3"/>
    <s v="Single"/>
    <n v="4284"/>
    <n v="22710"/>
    <n v="3"/>
    <s v="Y"/>
    <x v="1"/>
    <n v="20"/>
    <n v="4"/>
    <n v="1"/>
    <n v="80"/>
    <n v="0"/>
    <n v="20"/>
    <n v="2"/>
    <x v="1"/>
    <x v="9"/>
    <n v="3"/>
    <n v="1"/>
    <n v="3"/>
  </r>
  <r>
    <n v="29"/>
    <x v="0"/>
    <s v="Travel_Frequently"/>
    <n v="337"/>
    <x v="1"/>
    <n v="14"/>
    <n v="1"/>
    <s v="Other"/>
    <n v="1"/>
    <n v="1421"/>
    <x v="1"/>
    <s v="Female"/>
    <n v="84"/>
    <n v="3"/>
    <n v="3"/>
    <x v="4"/>
    <x v="0"/>
    <s v="Single"/>
    <n v="7553"/>
    <n v="22930"/>
    <n v="0"/>
    <s v="Y"/>
    <x v="0"/>
    <n v="12"/>
    <n v="3"/>
    <n v="1"/>
    <n v="80"/>
    <n v="0"/>
    <n v="9"/>
    <n v="1"/>
    <x v="1"/>
    <x v="3"/>
    <n v="7"/>
    <n v="7"/>
    <n v="7"/>
  </r>
  <r>
    <n v="54"/>
    <x v="1"/>
    <s v="Travel_Rarely"/>
    <n v="971"/>
    <x v="1"/>
    <n v="1"/>
    <n v="3"/>
    <s v="Medical"/>
    <n v="1"/>
    <n v="1422"/>
    <x v="2"/>
    <s v="Female"/>
    <n v="54"/>
    <n v="3"/>
    <n v="4"/>
    <x v="7"/>
    <x v="0"/>
    <s v="Single"/>
    <n v="17328"/>
    <n v="5652"/>
    <n v="6"/>
    <s v="Y"/>
    <x v="1"/>
    <n v="19"/>
    <n v="3"/>
    <n v="4"/>
    <n v="80"/>
    <n v="0"/>
    <n v="29"/>
    <n v="3"/>
    <x v="2"/>
    <x v="23"/>
    <n v="7"/>
    <n v="12"/>
    <n v="7"/>
  </r>
  <r>
    <n v="58"/>
    <x v="1"/>
    <s v="Travel_Rarely"/>
    <n v="1055"/>
    <x v="1"/>
    <n v="1"/>
    <n v="3"/>
    <s v="Medical"/>
    <n v="1"/>
    <n v="1423"/>
    <x v="2"/>
    <s v="Female"/>
    <n v="76"/>
    <n v="3"/>
    <n v="5"/>
    <x v="7"/>
    <x v="3"/>
    <s v="Married"/>
    <n v="19701"/>
    <n v="22456"/>
    <n v="3"/>
    <s v="Y"/>
    <x v="0"/>
    <n v="21"/>
    <n v="4"/>
    <n v="3"/>
    <n v="80"/>
    <n v="1"/>
    <n v="32"/>
    <n v="3"/>
    <x v="1"/>
    <x v="7"/>
    <n v="8"/>
    <n v="1"/>
    <n v="5"/>
  </r>
  <r>
    <n v="55"/>
    <x v="1"/>
    <s v="Travel_Rarely"/>
    <n v="1136"/>
    <x v="1"/>
    <n v="1"/>
    <n v="4"/>
    <s v="Medical"/>
    <n v="1"/>
    <n v="1424"/>
    <x v="0"/>
    <s v="Male"/>
    <n v="81"/>
    <n v="4"/>
    <n v="4"/>
    <x v="7"/>
    <x v="0"/>
    <s v="Divorced"/>
    <n v="14732"/>
    <n v="12414"/>
    <n v="2"/>
    <s v="Y"/>
    <x v="1"/>
    <n v="13"/>
    <n v="3"/>
    <n v="4"/>
    <n v="80"/>
    <n v="2"/>
    <n v="31"/>
    <n v="4"/>
    <x v="3"/>
    <x v="5"/>
    <n v="7"/>
    <n v="0"/>
    <n v="0"/>
  </r>
  <r>
    <n v="36"/>
    <x v="1"/>
    <s v="Travel_Rarely"/>
    <n v="1174"/>
    <x v="0"/>
    <n v="3"/>
    <n v="4"/>
    <s v="Marketing"/>
    <n v="1"/>
    <n v="1425"/>
    <x v="3"/>
    <s v="Female"/>
    <n v="99"/>
    <n v="3"/>
    <n v="2"/>
    <x v="0"/>
    <x v="1"/>
    <s v="Single"/>
    <n v="9278"/>
    <n v="20763"/>
    <n v="3"/>
    <s v="Y"/>
    <x v="0"/>
    <n v="16"/>
    <n v="3"/>
    <n v="4"/>
    <n v="80"/>
    <n v="0"/>
    <n v="15"/>
    <n v="3"/>
    <x v="1"/>
    <x v="8"/>
    <n v="4"/>
    <n v="0"/>
    <n v="1"/>
  </r>
  <r>
    <n v="31"/>
    <x v="0"/>
    <s v="Travel_Frequently"/>
    <n v="667"/>
    <x v="0"/>
    <n v="1"/>
    <n v="4"/>
    <s v="Life Sciences"/>
    <n v="1"/>
    <n v="1427"/>
    <x v="0"/>
    <s v="Female"/>
    <n v="50"/>
    <n v="1"/>
    <n v="1"/>
    <x v="6"/>
    <x v="2"/>
    <s v="Single"/>
    <n v="1359"/>
    <n v="16154"/>
    <n v="1"/>
    <s v="Y"/>
    <x v="1"/>
    <n v="12"/>
    <n v="3"/>
    <n v="2"/>
    <n v="80"/>
    <n v="0"/>
    <n v="1"/>
    <n v="3"/>
    <x v="1"/>
    <x v="6"/>
    <n v="0"/>
    <n v="0"/>
    <n v="0"/>
  </r>
  <r>
    <n v="30"/>
    <x v="1"/>
    <s v="Travel_Rarely"/>
    <n v="855"/>
    <x v="0"/>
    <n v="7"/>
    <n v="4"/>
    <s v="Marketing"/>
    <n v="1"/>
    <n v="1428"/>
    <x v="2"/>
    <s v="Female"/>
    <n v="73"/>
    <n v="3"/>
    <n v="2"/>
    <x v="0"/>
    <x v="3"/>
    <s v="Divorced"/>
    <n v="4779"/>
    <n v="12761"/>
    <n v="7"/>
    <s v="Y"/>
    <x v="1"/>
    <n v="14"/>
    <n v="3"/>
    <n v="2"/>
    <n v="80"/>
    <n v="2"/>
    <n v="8"/>
    <n v="3"/>
    <x v="1"/>
    <x v="11"/>
    <n v="2"/>
    <n v="0"/>
    <n v="2"/>
  </r>
  <r>
    <n v="31"/>
    <x v="1"/>
    <s v="Travel_Rarely"/>
    <n v="182"/>
    <x v="1"/>
    <n v="8"/>
    <n v="5"/>
    <s v="Life Sciences"/>
    <n v="1"/>
    <n v="1430"/>
    <x v="3"/>
    <s v="Female"/>
    <n v="93"/>
    <n v="3"/>
    <n v="4"/>
    <x v="7"/>
    <x v="1"/>
    <s v="Single"/>
    <n v="16422"/>
    <n v="8847"/>
    <n v="3"/>
    <s v="Y"/>
    <x v="1"/>
    <n v="11"/>
    <n v="3"/>
    <n v="3"/>
    <n v="80"/>
    <n v="0"/>
    <n v="9"/>
    <n v="3"/>
    <x v="3"/>
    <x v="11"/>
    <n v="2"/>
    <n v="1"/>
    <n v="0"/>
  </r>
  <r>
    <n v="34"/>
    <x v="1"/>
    <s v="Travel_Frequently"/>
    <n v="560"/>
    <x v="1"/>
    <n v="1"/>
    <n v="4"/>
    <s v="Other"/>
    <n v="1"/>
    <n v="1431"/>
    <x v="2"/>
    <s v="Male"/>
    <n v="91"/>
    <n v="3"/>
    <n v="1"/>
    <x v="1"/>
    <x v="3"/>
    <s v="Divorced"/>
    <n v="2996"/>
    <n v="20284"/>
    <n v="5"/>
    <s v="Y"/>
    <x v="1"/>
    <n v="14"/>
    <n v="3"/>
    <n v="3"/>
    <n v="80"/>
    <n v="2"/>
    <n v="10"/>
    <n v="2"/>
    <x v="1"/>
    <x v="9"/>
    <n v="3"/>
    <n v="1"/>
    <n v="3"/>
  </r>
  <r>
    <n v="31"/>
    <x v="0"/>
    <s v="Travel_Rarely"/>
    <n v="202"/>
    <x v="1"/>
    <n v="8"/>
    <n v="3"/>
    <s v="Life Sciences"/>
    <n v="1"/>
    <n v="1433"/>
    <x v="3"/>
    <s v="Female"/>
    <n v="34"/>
    <n v="2"/>
    <n v="1"/>
    <x v="1"/>
    <x v="1"/>
    <s v="Single"/>
    <n v="1261"/>
    <n v="22262"/>
    <n v="1"/>
    <s v="Y"/>
    <x v="1"/>
    <n v="12"/>
    <n v="3"/>
    <n v="3"/>
    <n v="80"/>
    <n v="0"/>
    <n v="1"/>
    <n v="3"/>
    <x v="3"/>
    <x v="6"/>
    <n v="0"/>
    <n v="0"/>
    <n v="0"/>
  </r>
  <r>
    <n v="27"/>
    <x v="1"/>
    <s v="Travel_Rarely"/>
    <n v="1377"/>
    <x v="1"/>
    <n v="11"/>
    <n v="1"/>
    <s v="Life Sciences"/>
    <n v="1"/>
    <n v="1434"/>
    <x v="0"/>
    <s v="Male"/>
    <n v="91"/>
    <n v="3"/>
    <n v="1"/>
    <x v="2"/>
    <x v="3"/>
    <s v="Married"/>
    <n v="2099"/>
    <n v="7679"/>
    <n v="0"/>
    <s v="Y"/>
    <x v="1"/>
    <n v="14"/>
    <n v="3"/>
    <n v="2"/>
    <n v="80"/>
    <n v="0"/>
    <n v="6"/>
    <n v="3"/>
    <x v="3"/>
    <x v="8"/>
    <n v="0"/>
    <n v="1"/>
    <n v="4"/>
  </r>
  <r>
    <n v="36"/>
    <x v="1"/>
    <s v="Travel_Rarely"/>
    <n v="172"/>
    <x v="1"/>
    <n v="4"/>
    <n v="4"/>
    <s v="Life Sciences"/>
    <n v="1"/>
    <n v="1435"/>
    <x v="3"/>
    <s v="Male"/>
    <n v="37"/>
    <n v="2"/>
    <n v="2"/>
    <x v="2"/>
    <x v="0"/>
    <s v="Single"/>
    <n v="5810"/>
    <n v="22604"/>
    <n v="1"/>
    <s v="Y"/>
    <x v="1"/>
    <n v="16"/>
    <n v="3"/>
    <n v="3"/>
    <n v="80"/>
    <n v="0"/>
    <n v="10"/>
    <n v="2"/>
    <x v="2"/>
    <x v="1"/>
    <n v="4"/>
    <n v="1"/>
    <n v="8"/>
  </r>
  <r>
    <n v="36"/>
    <x v="1"/>
    <s v="Travel_Rarely"/>
    <n v="329"/>
    <x v="0"/>
    <n v="16"/>
    <n v="4"/>
    <s v="Marketing"/>
    <n v="1"/>
    <n v="1436"/>
    <x v="1"/>
    <s v="Female"/>
    <n v="98"/>
    <n v="2"/>
    <n v="2"/>
    <x v="0"/>
    <x v="3"/>
    <s v="Married"/>
    <n v="5647"/>
    <n v="13494"/>
    <n v="4"/>
    <s v="Y"/>
    <x v="1"/>
    <n v="13"/>
    <n v="3"/>
    <n v="1"/>
    <n v="80"/>
    <n v="2"/>
    <n v="11"/>
    <n v="3"/>
    <x v="2"/>
    <x v="11"/>
    <n v="2"/>
    <n v="0"/>
    <n v="2"/>
  </r>
  <r>
    <n v="47"/>
    <x v="1"/>
    <s v="Travel_Rarely"/>
    <n v="465"/>
    <x v="1"/>
    <n v="1"/>
    <n v="3"/>
    <s v="Technical Degree"/>
    <n v="1"/>
    <n v="1438"/>
    <x v="3"/>
    <s v="Male"/>
    <n v="74"/>
    <n v="3"/>
    <n v="1"/>
    <x v="1"/>
    <x v="0"/>
    <s v="Married"/>
    <n v="3420"/>
    <n v="10205"/>
    <n v="7"/>
    <s v="Y"/>
    <x v="1"/>
    <n v="12"/>
    <n v="3"/>
    <n v="3"/>
    <n v="80"/>
    <n v="1"/>
    <n v="17"/>
    <n v="2"/>
    <x v="2"/>
    <x v="0"/>
    <n v="5"/>
    <n v="1"/>
    <n v="2"/>
  </r>
  <r>
    <n v="25"/>
    <x v="0"/>
    <s v="Travel_Rarely"/>
    <n v="383"/>
    <x v="0"/>
    <n v="9"/>
    <n v="2"/>
    <s v="Life Sciences"/>
    <n v="1"/>
    <n v="1439"/>
    <x v="3"/>
    <s v="Male"/>
    <n v="68"/>
    <n v="2"/>
    <n v="1"/>
    <x v="6"/>
    <x v="3"/>
    <s v="Married"/>
    <n v="4400"/>
    <n v="15182"/>
    <n v="3"/>
    <s v="Y"/>
    <x v="1"/>
    <n v="12"/>
    <n v="3"/>
    <n v="1"/>
    <n v="80"/>
    <n v="0"/>
    <n v="6"/>
    <n v="2"/>
    <x v="1"/>
    <x v="11"/>
    <n v="2"/>
    <n v="2"/>
    <n v="2"/>
  </r>
  <r>
    <n v="37"/>
    <x v="1"/>
    <s v="Non-Travel"/>
    <n v="1413"/>
    <x v="1"/>
    <n v="5"/>
    <n v="2"/>
    <s v="Technical Degree"/>
    <n v="1"/>
    <n v="1440"/>
    <x v="1"/>
    <s v="Male"/>
    <n v="84"/>
    <n v="4"/>
    <n v="1"/>
    <x v="2"/>
    <x v="2"/>
    <s v="Single"/>
    <n v="3500"/>
    <n v="25470"/>
    <n v="0"/>
    <s v="Y"/>
    <x v="1"/>
    <n v="14"/>
    <n v="3"/>
    <n v="1"/>
    <n v="80"/>
    <n v="0"/>
    <n v="7"/>
    <n v="2"/>
    <x v="0"/>
    <x v="0"/>
    <n v="5"/>
    <n v="1"/>
    <n v="3"/>
  </r>
  <r>
    <n v="56"/>
    <x v="1"/>
    <s v="Travel_Rarely"/>
    <n v="1255"/>
    <x v="1"/>
    <n v="1"/>
    <n v="2"/>
    <s v="Life Sciences"/>
    <n v="1"/>
    <n v="1441"/>
    <x v="3"/>
    <s v="Female"/>
    <n v="90"/>
    <n v="3"/>
    <n v="1"/>
    <x v="1"/>
    <x v="3"/>
    <s v="Married"/>
    <n v="2066"/>
    <n v="10494"/>
    <n v="2"/>
    <s v="Y"/>
    <x v="1"/>
    <n v="22"/>
    <n v="4"/>
    <n v="4"/>
    <n v="80"/>
    <n v="1"/>
    <n v="5"/>
    <n v="3"/>
    <x v="3"/>
    <x v="11"/>
    <n v="2"/>
    <n v="1"/>
    <n v="0"/>
  </r>
  <r>
    <n v="47"/>
    <x v="1"/>
    <s v="Travel_Rarely"/>
    <n v="359"/>
    <x v="1"/>
    <n v="2"/>
    <n v="4"/>
    <s v="Medical"/>
    <n v="1"/>
    <n v="1443"/>
    <x v="3"/>
    <s v="Female"/>
    <n v="82"/>
    <n v="3"/>
    <n v="4"/>
    <x v="7"/>
    <x v="2"/>
    <s v="Married"/>
    <n v="17169"/>
    <n v="26703"/>
    <n v="3"/>
    <s v="Y"/>
    <x v="1"/>
    <n v="19"/>
    <n v="3"/>
    <n v="2"/>
    <n v="80"/>
    <n v="2"/>
    <n v="26"/>
    <n v="2"/>
    <x v="3"/>
    <x v="23"/>
    <n v="17"/>
    <n v="5"/>
    <n v="6"/>
  </r>
  <r>
    <n v="24"/>
    <x v="1"/>
    <s v="Travel_Rarely"/>
    <n v="1476"/>
    <x v="0"/>
    <n v="4"/>
    <n v="1"/>
    <s v="Medical"/>
    <n v="1"/>
    <n v="1445"/>
    <x v="2"/>
    <s v="Female"/>
    <n v="42"/>
    <n v="3"/>
    <n v="2"/>
    <x v="0"/>
    <x v="2"/>
    <s v="Married"/>
    <n v="4162"/>
    <n v="15211"/>
    <n v="1"/>
    <s v="Y"/>
    <x v="0"/>
    <n v="12"/>
    <n v="3"/>
    <n v="3"/>
    <n v="80"/>
    <n v="2"/>
    <n v="5"/>
    <n v="3"/>
    <x v="1"/>
    <x v="8"/>
    <n v="4"/>
    <n v="0"/>
    <n v="3"/>
  </r>
  <r>
    <n v="32"/>
    <x v="1"/>
    <s v="Travel_Rarely"/>
    <n v="601"/>
    <x v="0"/>
    <n v="7"/>
    <n v="5"/>
    <s v="Marketing"/>
    <n v="1"/>
    <n v="1446"/>
    <x v="2"/>
    <s v="Male"/>
    <n v="97"/>
    <n v="3"/>
    <n v="2"/>
    <x v="0"/>
    <x v="0"/>
    <s v="Married"/>
    <n v="9204"/>
    <n v="23343"/>
    <n v="4"/>
    <s v="Y"/>
    <x v="1"/>
    <n v="12"/>
    <n v="3"/>
    <n v="3"/>
    <n v="80"/>
    <n v="1"/>
    <n v="7"/>
    <n v="3"/>
    <x v="2"/>
    <x v="9"/>
    <n v="3"/>
    <n v="0"/>
    <n v="3"/>
  </r>
  <r>
    <n v="34"/>
    <x v="1"/>
    <s v="Travel_Rarely"/>
    <n v="401"/>
    <x v="1"/>
    <n v="1"/>
    <n v="3"/>
    <s v="Life Sciences"/>
    <n v="1"/>
    <n v="1447"/>
    <x v="2"/>
    <s v="Female"/>
    <n v="86"/>
    <n v="2"/>
    <n v="1"/>
    <x v="2"/>
    <x v="1"/>
    <s v="Married"/>
    <n v="3294"/>
    <n v="3708"/>
    <n v="5"/>
    <s v="Y"/>
    <x v="1"/>
    <n v="17"/>
    <n v="3"/>
    <n v="1"/>
    <n v="80"/>
    <n v="1"/>
    <n v="7"/>
    <n v="2"/>
    <x v="2"/>
    <x v="8"/>
    <n v="4"/>
    <n v="0"/>
    <n v="2"/>
  </r>
  <r>
    <n v="41"/>
    <x v="1"/>
    <s v="Travel_Rarely"/>
    <n v="1283"/>
    <x v="1"/>
    <n v="5"/>
    <n v="5"/>
    <s v="Medical"/>
    <n v="1"/>
    <n v="1448"/>
    <x v="0"/>
    <s v="Male"/>
    <n v="90"/>
    <n v="4"/>
    <n v="1"/>
    <x v="1"/>
    <x v="2"/>
    <s v="Married"/>
    <n v="2127"/>
    <n v="5561"/>
    <n v="2"/>
    <s v="Y"/>
    <x v="0"/>
    <n v="12"/>
    <n v="3"/>
    <n v="1"/>
    <n v="80"/>
    <n v="0"/>
    <n v="7"/>
    <n v="5"/>
    <x v="2"/>
    <x v="9"/>
    <n v="2"/>
    <n v="0"/>
    <n v="3"/>
  </r>
  <r>
    <n v="40"/>
    <x v="1"/>
    <s v="Non-Travel"/>
    <n v="663"/>
    <x v="1"/>
    <n v="9"/>
    <n v="4"/>
    <s v="Other"/>
    <n v="1"/>
    <n v="1449"/>
    <x v="1"/>
    <s v="Male"/>
    <n v="81"/>
    <n v="3"/>
    <n v="2"/>
    <x v="2"/>
    <x v="2"/>
    <s v="Divorced"/>
    <n v="3975"/>
    <n v="23099"/>
    <n v="3"/>
    <s v="Y"/>
    <x v="1"/>
    <n v="11"/>
    <n v="3"/>
    <n v="3"/>
    <n v="80"/>
    <n v="2"/>
    <n v="11"/>
    <n v="2"/>
    <x v="3"/>
    <x v="3"/>
    <n v="7"/>
    <n v="0"/>
    <n v="7"/>
  </r>
  <r>
    <n v="31"/>
    <x v="1"/>
    <s v="Travel_Rarely"/>
    <n v="326"/>
    <x v="0"/>
    <n v="8"/>
    <n v="2"/>
    <s v="Life Sciences"/>
    <n v="1"/>
    <n v="1453"/>
    <x v="3"/>
    <s v="Male"/>
    <n v="31"/>
    <n v="3"/>
    <n v="3"/>
    <x v="0"/>
    <x v="0"/>
    <s v="Divorced"/>
    <n v="10793"/>
    <n v="8386"/>
    <n v="1"/>
    <s v="Y"/>
    <x v="1"/>
    <n v="18"/>
    <n v="3"/>
    <n v="1"/>
    <n v="80"/>
    <n v="1"/>
    <n v="13"/>
    <n v="5"/>
    <x v="1"/>
    <x v="20"/>
    <n v="7"/>
    <n v="9"/>
    <n v="9"/>
  </r>
  <r>
    <n v="46"/>
    <x v="0"/>
    <s v="Travel_Rarely"/>
    <n v="377"/>
    <x v="0"/>
    <n v="9"/>
    <n v="3"/>
    <s v="Marketing"/>
    <n v="1"/>
    <n v="1457"/>
    <x v="3"/>
    <s v="Male"/>
    <n v="52"/>
    <n v="3"/>
    <n v="3"/>
    <x v="0"/>
    <x v="0"/>
    <s v="Divorced"/>
    <n v="10096"/>
    <n v="15986"/>
    <n v="4"/>
    <s v="Y"/>
    <x v="1"/>
    <n v="11"/>
    <n v="3"/>
    <n v="1"/>
    <n v="80"/>
    <n v="1"/>
    <n v="28"/>
    <n v="1"/>
    <x v="3"/>
    <x v="5"/>
    <n v="7"/>
    <n v="4"/>
    <n v="3"/>
  </r>
  <r>
    <n v="39"/>
    <x v="0"/>
    <s v="Non-Travel"/>
    <n v="592"/>
    <x v="1"/>
    <n v="2"/>
    <n v="3"/>
    <s v="Life Sciences"/>
    <n v="1"/>
    <n v="1458"/>
    <x v="3"/>
    <s v="Female"/>
    <n v="54"/>
    <n v="2"/>
    <n v="1"/>
    <x v="2"/>
    <x v="3"/>
    <s v="Single"/>
    <n v="3646"/>
    <n v="17181"/>
    <n v="2"/>
    <s v="Y"/>
    <x v="0"/>
    <n v="23"/>
    <n v="4"/>
    <n v="2"/>
    <n v="80"/>
    <n v="0"/>
    <n v="11"/>
    <n v="2"/>
    <x v="3"/>
    <x v="6"/>
    <n v="0"/>
    <n v="0"/>
    <n v="0"/>
  </r>
  <r>
    <n v="31"/>
    <x v="0"/>
    <s v="Travel_Frequently"/>
    <n v="1445"/>
    <x v="1"/>
    <n v="1"/>
    <n v="5"/>
    <s v="Life Sciences"/>
    <n v="1"/>
    <n v="1459"/>
    <x v="1"/>
    <s v="Female"/>
    <n v="100"/>
    <n v="4"/>
    <n v="3"/>
    <x v="3"/>
    <x v="1"/>
    <s v="Single"/>
    <n v="7446"/>
    <n v="8931"/>
    <n v="1"/>
    <s v="Y"/>
    <x v="1"/>
    <n v="11"/>
    <n v="3"/>
    <n v="1"/>
    <n v="80"/>
    <n v="0"/>
    <n v="10"/>
    <n v="2"/>
    <x v="1"/>
    <x v="1"/>
    <n v="8"/>
    <n v="4"/>
    <n v="7"/>
  </r>
  <r>
    <n v="45"/>
    <x v="1"/>
    <s v="Travel_Rarely"/>
    <n v="1038"/>
    <x v="1"/>
    <n v="20"/>
    <n v="3"/>
    <s v="Medical"/>
    <n v="1"/>
    <n v="1460"/>
    <x v="0"/>
    <s v="Male"/>
    <n v="95"/>
    <n v="1"/>
    <n v="3"/>
    <x v="4"/>
    <x v="3"/>
    <s v="Divorced"/>
    <n v="10851"/>
    <n v="19863"/>
    <n v="2"/>
    <s v="Y"/>
    <x v="0"/>
    <n v="18"/>
    <n v="3"/>
    <n v="2"/>
    <n v="80"/>
    <n v="1"/>
    <n v="24"/>
    <n v="2"/>
    <x v="1"/>
    <x v="5"/>
    <n v="7"/>
    <n v="0"/>
    <n v="7"/>
  </r>
  <r>
    <n v="31"/>
    <x v="1"/>
    <s v="Travel_Rarely"/>
    <n v="1398"/>
    <x v="2"/>
    <n v="8"/>
    <n v="2"/>
    <s v="Medical"/>
    <n v="1"/>
    <n v="1461"/>
    <x v="2"/>
    <s v="Female"/>
    <n v="96"/>
    <n v="4"/>
    <n v="1"/>
    <x v="8"/>
    <x v="1"/>
    <s v="Single"/>
    <n v="2109"/>
    <n v="24609"/>
    <n v="9"/>
    <s v="Y"/>
    <x v="1"/>
    <n v="18"/>
    <n v="3"/>
    <n v="4"/>
    <n v="80"/>
    <n v="0"/>
    <n v="8"/>
    <n v="3"/>
    <x v="1"/>
    <x v="11"/>
    <n v="2"/>
    <n v="0"/>
    <n v="2"/>
  </r>
  <r>
    <n v="31"/>
    <x v="0"/>
    <s v="Travel_Frequently"/>
    <n v="523"/>
    <x v="1"/>
    <n v="2"/>
    <n v="3"/>
    <s v="Life Sciences"/>
    <n v="1"/>
    <n v="1464"/>
    <x v="0"/>
    <s v="Male"/>
    <n v="94"/>
    <n v="3"/>
    <n v="1"/>
    <x v="2"/>
    <x v="0"/>
    <s v="Married"/>
    <n v="3722"/>
    <n v="21081"/>
    <n v="6"/>
    <s v="Y"/>
    <x v="0"/>
    <n v="13"/>
    <n v="3"/>
    <n v="3"/>
    <n v="80"/>
    <n v="1"/>
    <n v="7"/>
    <n v="2"/>
    <x v="0"/>
    <x v="4"/>
    <n v="2"/>
    <n v="2"/>
    <n v="2"/>
  </r>
  <r>
    <n v="45"/>
    <x v="1"/>
    <s v="Travel_Rarely"/>
    <n v="1448"/>
    <x v="1"/>
    <n v="29"/>
    <n v="3"/>
    <s v="Technical Degree"/>
    <n v="1"/>
    <n v="1465"/>
    <x v="0"/>
    <s v="Male"/>
    <n v="55"/>
    <n v="3"/>
    <n v="3"/>
    <x v="3"/>
    <x v="0"/>
    <s v="Married"/>
    <n v="9380"/>
    <n v="14720"/>
    <n v="4"/>
    <s v="Y"/>
    <x v="0"/>
    <n v="18"/>
    <n v="3"/>
    <n v="4"/>
    <n v="80"/>
    <n v="2"/>
    <n v="10"/>
    <n v="4"/>
    <x v="3"/>
    <x v="11"/>
    <n v="1"/>
    <n v="1"/>
    <n v="2"/>
  </r>
  <r>
    <n v="48"/>
    <x v="1"/>
    <s v="Travel_Rarely"/>
    <n v="1221"/>
    <x v="0"/>
    <n v="7"/>
    <n v="3"/>
    <s v="Marketing"/>
    <n v="1"/>
    <n v="1466"/>
    <x v="1"/>
    <s v="Male"/>
    <n v="96"/>
    <n v="3"/>
    <n v="2"/>
    <x v="0"/>
    <x v="3"/>
    <s v="Divorced"/>
    <n v="5486"/>
    <n v="24795"/>
    <n v="4"/>
    <s v="Y"/>
    <x v="1"/>
    <n v="11"/>
    <n v="3"/>
    <n v="1"/>
    <n v="80"/>
    <n v="3"/>
    <n v="15"/>
    <n v="3"/>
    <x v="1"/>
    <x v="4"/>
    <n v="2"/>
    <n v="2"/>
    <n v="2"/>
  </r>
  <r>
    <n v="34"/>
    <x v="0"/>
    <s v="Travel_Rarely"/>
    <n v="1107"/>
    <x v="2"/>
    <n v="9"/>
    <n v="4"/>
    <s v="Technical Degree"/>
    <n v="1"/>
    <n v="1467"/>
    <x v="3"/>
    <s v="Female"/>
    <n v="52"/>
    <n v="3"/>
    <n v="1"/>
    <x v="8"/>
    <x v="2"/>
    <s v="Married"/>
    <n v="2742"/>
    <n v="3072"/>
    <n v="1"/>
    <s v="Y"/>
    <x v="1"/>
    <n v="15"/>
    <n v="3"/>
    <n v="4"/>
    <n v="80"/>
    <n v="0"/>
    <n v="2"/>
    <n v="0"/>
    <x v="1"/>
    <x v="4"/>
    <n v="2"/>
    <n v="2"/>
    <n v="2"/>
  </r>
  <r>
    <n v="40"/>
    <x v="1"/>
    <s v="Non-Travel"/>
    <n v="218"/>
    <x v="1"/>
    <n v="8"/>
    <n v="1"/>
    <s v="Medical"/>
    <n v="1"/>
    <n v="1468"/>
    <x v="2"/>
    <s v="Male"/>
    <n v="55"/>
    <n v="2"/>
    <n v="3"/>
    <x v="7"/>
    <x v="1"/>
    <s v="Divorced"/>
    <n v="13757"/>
    <n v="25178"/>
    <n v="2"/>
    <s v="Y"/>
    <x v="1"/>
    <n v="11"/>
    <n v="3"/>
    <n v="3"/>
    <n v="80"/>
    <n v="1"/>
    <n v="16"/>
    <n v="5"/>
    <x v="1"/>
    <x v="7"/>
    <n v="8"/>
    <n v="4"/>
    <n v="8"/>
  </r>
  <r>
    <n v="28"/>
    <x v="1"/>
    <s v="Travel_Rarely"/>
    <n v="866"/>
    <x v="0"/>
    <n v="5"/>
    <n v="3"/>
    <s v="Medical"/>
    <n v="1"/>
    <n v="1469"/>
    <x v="2"/>
    <s v="Male"/>
    <n v="84"/>
    <n v="3"/>
    <n v="2"/>
    <x v="0"/>
    <x v="3"/>
    <s v="Single"/>
    <n v="8463"/>
    <n v="23490"/>
    <n v="0"/>
    <s v="Y"/>
    <x v="1"/>
    <n v="18"/>
    <n v="3"/>
    <n v="4"/>
    <n v="80"/>
    <n v="0"/>
    <n v="6"/>
    <n v="4"/>
    <x v="1"/>
    <x v="8"/>
    <n v="4"/>
    <n v="1"/>
    <n v="3"/>
  </r>
  <r>
    <n v="44"/>
    <x v="1"/>
    <s v="Non-Travel"/>
    <n v="981"/>
    <x v="1"/>
    <n v="5"/>
    <n v="3"/>
    <s v="Life Sciences"/>
    <n v="1"/>
    <n v="1471"/>
    <x v="1"/>
    <s v="Male"/>
    <n v="90"/>
    <n v="2"/>
    <n v="1"/>
    <x v="2"/>
    <x v="2"/>
    <s v="Single"/>
    <n v="3162"/>
    <n v="7973"/>
    <n v="3"/>
    <s v="Y"/>
    <x v="1"/>
    <n v="14"/>
    <n v="3"/>
    <n v="4"/>
    <n v="80"/>
    <n v="0"/>
    <n v="7"/>
    <n v="5"/>
    <x v="1"/>
    <x v="8"/>
    <n v="2"/>
    <n v="0"/>
    <n v="3"/>
  </r>
  <r>
    <n v="53"/>
    <x v="1"/>
    <s v="Travel_Rarely"/>
    <n v="447"/>
    <x v="1"/>
    <n v="2"/>
    <n v="3"/>
    <s v="Medical"/>
    <n v="1"/>
    <n v="1472"/>
    <x v="2"/>
    <s v="Male"/>
    <n v="39"/>
    <n v="4"/>
    <n v="4"/>
    <x v="7"/>
    <x v="1"/>
    <s v="Single"/>
    <n v="16598"/>
    <n v="19764"/>
    <n v="4"/>
    <s v="Y"/>
    <x v="1"/>
    <n v="12"/>
    <n v="3"/>
    <n v="2"/>
    <n v="80"/>
    <n v="0"/>
    <n v="35"/>
    <n v="2"/>
    <x v="2"/>
    <x v="7"/>
    <n v="8"/>
    <n v="8"/>
    <n v="8"/>
  </r>
  <r>
    <n v="49"/>
    <x v="1"/>
    <s v="Travel_Rarely"/>
    <n v="1495"/>
    <x v="1"/>
    <n v="5"/>
    <n v="4"/>
    <s v="Technical Degree"/>
    <n v="1"/>
    <n v="1473"/>
    <x v="3"/>
    <s v="Male"/>
    <n v="96"/>
    <n v="3"/>
    <n v="2"/>
    <x v="4"/>
    <x v="2"/>
    <s v="Married"/>
    <n v="6651"/>
    <n v="21534"/>
    <n v="2"/>
    <s v="Y"/>
    <x v="1"/>
    <n v="14"/>
    <n v="3"/>
    <n v="2"/>
    <n v="80"/>
    <n v="1"/>
    <n v="20"/>
    <n v="0"/>
    <x v="2"/>
    <x v="11"/>
    <n v="2"/>
    <n v="1"/>
    <n v="2"/>
  </r>
  <r>
    <n v="40"/>
    <x v="1"/>
    <s v="Travel_Rarely"/>
    <n v="896"/>
    <x v="1"/>
    <n v="2"/>
    <n v="3"/>
    <s v="Medical"/>
    <n v="1"/>
    <n v="1474"/>
    <x v="1"/>
    <s v="Male"/>
    <n v="68"/>
    <n v="3"/>
    <n v="1"/>
    <x v="1"/>
    <x v="2"/>
    <s v="Divorced"/>
    <n v="2345"/>
    <n v="8045"/>
    <n v="2"/>
    <s v="Y"/>
    <x v="1"/>
    <n v="14"/>
    <n v="3"/>
    <n v="3"/>
    <n v="80"/>
    <n v="1"/>
    <n v="8"/>
    <n v="3"/>
    <x v="3"/>
    <x v="11"/>
    <n v="1"/>
    <n v="1"/>
    <n v="2"/>
  </r>
  <r>
    <n v="44"/>
    <x v="1"/>
    <s v="Travel_Rarely"/>
    <n v="1467"/>
    <x v="1"/>
    <n v="20"/>
    <n v="3"/>
    <s v="Life Sciences"/>
    <n v="1"/>
    <n v="1475"/>
    <x v="2"/>
    <s v="Male"/>
    <n v="49"/>
    <n v="3"/>
    <n v="1"/>
    <x v="1"/>
    <x v="1"/>
    <s v="Single"/>
    <n v="3420"/>
    <n v="21158"/>
    <n v="1"/>
    <s v="Y"/>
    <x v="1"/>
    <n v="13"/>
    <n v="3"/>
    <n v="3"/>
    <n v="80"/>
    <n v="0"/>
    <n v="6"/>
    <n v="3"/>
    <x v="2"/>
    <x v="8"/>
    <n v="2"/>
    <n v="1"/>
    <n v="3"/>
  </r>
  <r>
    <n v="33"/>
    <x v="1"/>
    <s v="Travel_Frequently"/>
    <n v="430"/>
    <x v="0"/>
    <n v="7"/>
    <n v="3"/>
    <s v="Medical"/>
    <n v="1"/>
    <n v="1477"/>
    <x v="2"/>
    <s v="Male"/>
    <n v="54"/>
    <n v="3"/>
    <n v="2"/>
    <x v="0"/>
    <x v="3"/>
    <s v="Married"/>
    <n v="4373"/>
    <n v="17456"/>
    <n v="0"/>
    <s v="Y"/>
    <x v="1"/>
    <n v="14"/>
    <n v="3"/>
    <n v="1"/>
    <n v="80"/>
    <n v="2"/>
    <n v="5"/>
    <n v="2"/>
    <x v="1"/>
    <x v="9"/>
    <n v="3"/>
    <n v="0"/>
    <n v="3"/>
  </r>
  <r>
    <n v="34"/>
    <x v="1"/>
    <s v="Travel_Rarely"/>
    <n v="1326"/>
    <x v="0"/>
    <n v="3"/>
    <n v="3"/>
    <s v="Other"/>
    <n v="1"/>
    <n v="1478"/>
    <x v="2"/>
    <s v="Male"/>
    <n v="81"/>
    <n v="1"/>
    <n v="2"/>
    <x v="0"/>
    <x v="3"/>
    <s v="Single"/>
    <n v="4759"/>
    <n v="15891"/>
    <n v="3"/>
    <s v="Y"/>
    <x v="1"/>
    <n v="18"/>
    <n v="3"/>
    <n v="4"/>
    <n v="80"/>
    <n v="0"/>
    <n v="15"/>
    <n v="2"/>
    <x v="1"/>
    <x v="20"/>
    <n v="9"/>
    <n v="3"/>
    <n v="12"/>
  </r>
  <r>
    <n v="30"/>
    <x v="1"/>
    <s v="Travel_Rarely"/>
    <n v="1358"/>
    <x v="0"/>
    <n v="16"/>
    <n v="1"/>
    <s v="Life Sciences"/>
    <n v="1"/>
    <n v="1479"/>
    <x v="2"/>
    <s v="Male"/>
    <n v="96"/>
    <n v="3"/>
    <n v="2"/>
    <x v="0"/>
    <x v="2"/>
    <s v="Married"/>
    <n v="5301"/>
    <n v="2939"/>
    <n v="8"/>
    <s v="Y"/>
    <x v="1"/>
    <n v="15"/>
    <n v="3"/>
    <n v="3"/>
    <n v="80"/>
    <n v="2"/>
    <n v="4"/>
    <n v="2"/>
    <x v="2"/>
    <x v="4"/>
    <n v="1"/>
    <n v="2"/>
    <n v="2"/>
  </r>
  <r>
    <n v="42"/>
    <x v="1"/>
    <s v="Travel_Frequently"/>
    <n v="748"/>
    <x v="1"/>
    <n v="9"/>
    <n v="2"/>
    <s v="Medical"/>
    <n v="1"/>
    <n v="1480"/>
    <x v="3"/>
    <s v="Female"/>
    <n v="74"/>
    <n v="3"/>
    <n v="1"/>
    <x v="2"/>
    <x v="0"/>
    <s v="Single"/>
    <n v="3673"/>
    <n v="16458"/>
    <n v="1"/>
    <s v="Y"/>
    <x v="1"/>
    <n v="13"/>
    <n v="3"/>
    <n v="3"/>
    <n v="80"/>
    <n v="0"/>
    <n v="12"/>
    <n v="3"/>
    <x v="1"/>
    <x v="12"/>
    <n v="9"/>
    <n v="5"/>
    <n v="8"/>
  </r>
  <r>
    <n v="44"/>
    <x v="1"/>
    <s v="Travel_Frequently"/>
    <n v="383"/>
    <x v="0"/>
    <n v="1"/>
    <n v="5"/>
    <s v="Marketing"/>
    <n v="1"/>
    <n v="1481"/>
    <x v="3"/>
    <s v="Female"/>
    <n v="79"/>
    <n v="3"/>
    <n v="2"/>
    <x v="0"/>
    <x v="2"/>
    <s v="Married"/>
    <n v="4768"/>
    <n v="9282"/>
    <n v="7"/>
    <s v="Y"/>
    <x v="1"/>
    <n v="12"/>
    <n v="3"/>
    <n v="3"/>
    <n v="80"/>
    <n v="1"/>
    <n v="11"/>
    <n v="4"/>
    <x v="2"/>
    <x v="6"/>
    <n v="0"/>
    <n v="0"/>
    <n v="0"/>
  </r>
  <r>
    <n v="30"/>
    <x v="1"/>
    <s v="Non-Travel"/>
    <n v="990"/>
    <x v="1"/>
    <n v="7"/>
    <n v="3"/>
    <s v="Technical Degree"/>
    <n v="1"/>
    <n v="1482"/>
    <x v="1"/>
    <s v="Male"/>
    <n v="64"/>
    <n v="3"/>
    <n v="1"/>
    <x v="1"/>
    <x v="2"/>
    <s v="Divorced"/>
    <n v="1274"/>
    <n v="7152"/>
    <n v="1"/>
    <s v="Y"/>
    <x v="1"/>
    <n v="13"/>
    <n v="3"/>
    <n v="2"/>
    <n v="80"/>
    <n v="2"/>
    <n v="1"/>
    <n v="2"/>
    <x v="2"/>
    <x v="6"/>
    <n v="0"/>
    <n v="0"/>
    <n v="0"/>
  </r>
  <r>
    <n v="57"/>
    <x v="1"/>
    <s v="Travel_Rarely"/>
    <n v="405"/>
    <x v="1"/>
    <n v="1"/>
    <n v="2"/>
    <s v="Life Sciences"/>
    <n v="1"/>
    <n v="1483"/>
    <x v="0"/>
    <s v="Male"/>
    <n v="93"/>
    <n v="4"/>
    <n v="2"/>
    <x v="1"/>
    <x v="2"/>
    <s v="Married"/>
    <n v="4900"/>
    <n v="2721"/>
    <n v="0"/>
    <s v="Y"/>
    <x v="1"/>
    <n v="24"/>
    <n v="4"/>
    <n v="1"/>
    <n v="80"/>
    <n v="1"/>
    <n v="13"/>
    <n v="2"/>
    <x v="2"/>
    <x v="12"/>
    <n v="9"/>
    <n v="2"/>
    <n v="8"/>
  </r>
  <r>
    <n v="49"/>
    <x v="1"/>
    <s v="Travel_Rarely"/>
    <n v="1490"/>
    <x v="1"/>
    <n v="7"/>
    <n v="4"/>
    <s v="Life Sciences"/>
    <n v="1"/>
    <n v="1484"/>
    <x v="1"/>
    <s v="Male"/>
    <n v="35"/>
    <n v="3"/>
    <n v="3"/>
    <x v="4"/>
    <x v="1"/>
    <s v="Divorced"/>
    <n v="10466"/>
    <n v="20948"/>
    <n v="3"/>
    <s v="Y"/>
    <x v="1"/>
    <n v="14"/>
    <n v="3"/>
    <n v="2"/>
    <n v="80"/>
    <n v="2"/>
    <n v="29"/>
    <n v="3"/>
    <x v="1"/>
    <x v="3"/>
    <n v="7"/>
    <n v="0"/>
    <n v="7"/>
  </r>
  <r>
    <n v="34"/>
    <x v="1"/>
    <s v="Travel_Frequently"/>
    <n v="829"/>
    <x v="1"/>
    <n v="15"/>
    <n v="3"/>
    <s v="Medical"/>
    <n v="1"/>
    <n v="1485"/>
    <x v="0"/>
    <s v="Male"/>
    <n v="71"/>
    <n v="3"/>
    <n v="4"/>
    <x v="7"/>
    <x v="3"/>
    <s v="Divorced"/>
    <n v="17007"/>
    <n v="11929"/>
    <n v="7"/>
    <s v="Y"/>
    <x v="1"/>
    <n v="14"/>
    <n v="3"/>
    <n v="4"/>
    <n v="80"/>
    <n v="2"/>
    <n v="16"/>
    <n v="3"/>
    <x v="2"/>
    <x v="13"/>
    <n v="8"/>
    <n v="6"/>
    <n v="9"/>
  </r>
  <r>
    <n v="28"/>
    <x v="0"/>
    <s v="Travel_Frequently"/>
    <n v="1496"/>
    <x v="0"/>
    <n v="1"/>
    <n v="3"/>
    <s v="Technical Degree"/>
    <n v="1"/>
    <n v="1486"/>
    <x v="3"/>
    <s v="Male"/>
    <n v="92"/>
    <n v="3"/>
    <n v="1"/>
    <x v="6"/>
    <x v="2"/>
    <s v="Married"/>
    <n v="2909"/>
    <n v="15747"/>
    <n v="3"/>
    <s v="Y"/>
    <x v="1"/>
    <n v="15"/>
    <n v="3"/>
    <n v="4"/>
    <n v="80"/>
    <n v="1"/>
    <n v="5"/>
    <n v="3"/>
    <x v="3"/>
    <x v="11"/>
    <n v="2"/>
    <n v="1"/>
    <n v="2"/>
  </r>
  <r>
    <n v="29"/>
    <x v="0"/>
    <s v="Travel_Frequently"/>
    <n v="115"/>
    <x v="0"/>
    <n v="13"/>
    <n v="3"/>
    <s v="Technical Degree"/>
    <n v="1"/>
    <n v="1487"/>
    <x v="3"/>
    <s v="Female"/>
    <n v="51"/>
    <n v="3"/>
    <n v="2"/>
    <x v="0"/>
    <x v="1"/>
    <s v="Single"/>
    <n v="5765"/>
    <n v="17485"/>
    <n v="5"/>
    <s v="Y"/>
    <x v="1"/>
    <n v="11"/>
    <n v="3"/>
    <n v="1"/>
    <n v="80"/>
    <n v="0"/>
    <n v="7"/>
    <n v="4"/>
    <x v="0"/>
    <x v="8"/>
    <n v="3"/>
    <n v="0"/>
    <n v="0"/>
  </r>
  <r>
    <n v="34"/>
    <x v="0"/>
    <s v="Travel_Rarely"/>
    <n v="790"/>
    <x v="0"/>
    <n v="24"/>
    <n v="4"/>
    <s v="Medical"/>
    <n v="1"/>
    <n v="1489"/>
    <x v="3"/>
    <s v="Female"/>
    <n v="40"/>
    <n v="2"/>
    <n v="2"/>
    <x v="0"/>
    <x v="1"/>
    <s v="Single"/>
    <n v="4599"/>
    <n v="7815"/>
    <n v="0"/>
    <s v="Y"/>
    <x v="0"/>
    <n v="23"/>
    <n v="4"/>
    <n v="3"/>
    <n v="80"/>
    <n v="0"/>
    <n v="16"/>
    <n v="2"/>
    <x v="3"/>
    <x v="15"/>
    <n v="9"/>
    <n v="10"/>
    <n v="10"/>
  </r>
  <r>
    <n v="35"/>
    <x v="1"/>
    <s v="Travel_Rarely"/>
    <n v="660"/>
    <x v="0"/>
    <n v="7"/>
    <n v="1"/>
    <s v="Life Sciences"/>
    <n v="1"/>
    <n v="1492"/>
    <x v="2"/>
    <s v="Male"/>
    <n v="76"/>
    <n v="3"/>
    <n v="1"/>
    <x v="6"/>
    <x v="2"/>
    <s v="Married"/>
    <n v="2404"/>
    <n v="16192"/>
    <n v="1"/>
    <s v="Y"/>
    <x v="1"/>
    <n v="13"/>
    <n v="3"/>
    <n v="1"/>
    <n v="80"/>
    <n v="1"/>
    <n v="1"/>
    <n v="3"/>
    <x v="1"/>
    <x v="6"/>
    <n v="0"/>
    <n v="0"/>
    <n v="0"/>
  </r>
  <r>
    <n v="24"/>
    <x v="0"/>
    <s v="Travel_Frequently"/>
    <n v="381"/>
    <x v="1"/>
    <n v="9"/>
    <n v="3"/>
    <s v="Medical"/>
    <n v="1"/>
    <n v="1494"/>
    <x v="0"/>
    <s v="Male"/>
    <n v="89"/>
    <n v="3"/>
    <n v="1"/>
    <x v="2"/>
    <x v="3"/>
    <s v="Single"/>
    <n v="3172"/>
    <n v="16998"/>
    <n v="2"/>
    <s v="Y"/>
    <x v="0"/>
    <n v="11"/>
    <n v="3"/>
    <n v="3"/>
    <n v="80"/>
    <n v="0"/>
    <n v="4"/>
    <n v="2"/>
    <x v="2"/>
    <x v="2"/>
    <n v="0"/>
    <n v="0"/>
    <n v="0"/>
  </r>
  <r>
    <n v="24"/>
    <x v="1"/>
    <s v="Non-Travel"/>
    <n v="830"/>
    <x v="0"/>
    <n v="13"/>
    <n v="2"/>
    <s v="Life Sciences"/>
    <n v="1"/>
    <n v="1495"/>
    <x v="2"/>
    <s v="Female"/>
    <n v="78"/>
    <n v="3"/>
    <n v="1"/>
    <x v="6"/>
    <x v="1"/>
    <s v="Married"/>
    <n v="2033"/>
    <n v="7103"/>
    <n v="1"/>
    <s v="Y"/>
    <x v="1"/>
    <n v="13"/>
    <n v="3"/>
    <n v="3"/>
    <n v="80"/>
    <n v="1"/>
    <n v="1"/>
    <n v="2"/>
    <x v="1"/>
    <x v="6"/>
    <n v="0"/>
    <n v="0"/>
    <n v="0"/>
  </r>
  <r>
    <n v="44"/>
    <x v="1"/>
    <s v="Travel_Frequently"/>
    <n v="1193"/>
    <x v="1"/>
    <n v="2"/>
    <n v="1"/>
    <s v="Medical"/>
    <n v="1"/>
    <n v="1496"/>
    <x v="0"/>
    <s v="Male"/>
    <n v="86"/>
    <n v="3"/>
    <n v="3"/>
    <x v="3"/>
    <x v="2"/>
    <s v="Single"/>
    <n v="10209"/>
    <n v="19719"/>
    <n v="5"/>
    <s v="Y"/>
    <x v="0"/>
    <n v="18"/>
    <n v="3"/>
    <n v="2"/>
    <n v="80"/>
    <n v="0"/>
    <n v="16"/>
    <n v="2"/>
    <x v="2"/>
    <x v="4"/>
    <n v="2"/>
    <n v="2"/>
    <n v="2"/>
  </r>
  <r>
    <n v="29"/>
    <x v="1"/>
    <s v="Travel_Rarely"/>
    <n v="1246"/>
    <x v="0"/>
    <n v="19"/>
    <n v="3"/>
    <s v="Life Sciences"/>
    <n v="1"/>
    <n v="1497"/>
    <x v="1"/>
    <s v="Male"/>
    <n v="77"/>
    <n v="2"/>
    <n v="2"/>
    <x v="0"/>
    <x v="2"/>
    <s v="Divorced"/>
    <n v="8620"/>
    <n v="23757"/>
    <n v="1"/>
    <s v="Y"/>
    <x v="1"/>
    <n v="14"/>
    <n v="3"/>
    <n v="3"/>
    <n v="80"/>
    <n v="2"/>
    <n v="10"/>
    <n v="3"/>
    <x v="1"/>
    <x v="1"/>
    <n v="7"/>
    <n v="0"/>
    <n v="4"/>
  </r>
  <r>
    <n v="30"/>
    <x v="1"/>
    <s v="Travel_Rarely"/>
    <n v="330"/>
    <x v="2"/>
    <n v="1"/>
    <n v="3"/>
    <s v="Life Sciences"/>
    <n v="1"/>
    <n v="1499"/>
    <x v="1"/>
    <s v="Male"/>
    <n v="46"/>
    <n v="3"/>
    <n v="1"/>
    <x v="8"/>
    <x v="2"/>
    <s v="Divorced"/>
    <n v="2064"/>
    <n v="15428"/>
    <n v="0"/>
    <s v="Y"/>
    <x v="1"/>
    <n v="21"/>
    <n v="4"/>
    <n v="1"/>
    <n v="80"/>
    <n v="1"/>
    <n v="6"/>
    <n v="3"/>
    <x v="3"/>
    <x v="8"/>
    <n v="3"/>
    <n v="1"/>
    <n v="3"/>
  </r>
  <r>
    <n v="55"/>
    <x v="1"/>
    <s v="Travel_Rarely"/>
    <n v="1229"/>
    <x v="1"/>
    <n v="4"/>
    <n v="4"/>
    <s v="Life Sciences"/>
    <n v="1"/>
    <n v="1501"/>
    <x v="2"/>
    <s v="Male"/>
    <n v="30"/>
    <n v="3"/>
    <n v="2"/>
    <x v="4"/>
    <x v="2"/>
    <s v="Married"/>
    <n v="4035"/>
    <n v="16143"/>
    <n v="0"/>
    <s v="Y"/>
    <x v="0"/>
    <n v="16"/>
    <n v="3"/>
    <n v="2"/>
    <n v="80"/>
    <n v="0"/>
    <n v="4"/>
    <n v="2"/>
    <x v="1"/>
    <x v="11"/>
    <n v="2"/>
    <n v="1"/>
    <n v="2"/>
  </r>
  <r>
    <n v="33"/>
    <x v="1"/>
    <s v="Travel_Rarely"/>
    <n v="1099"/>
    <x v="1"/>
    <n v="4"/>
    <n v="4"/>
    <s v="Medical"/>
    <n v="1"/>
    <n v="1502"/>
    <x v="3"/>
    <s v="Female"/>
    <n v="82"/>
    <n v="2"/>
    <n v="1"/>
    <x v="2"/>
    <x v="1"/>
    <s v="Married"/>
    <n v="3838"/>
    <n v="8192"/>
    <n v="8"/>
    <s v="Y"/>
    <x v="1"/>
    <n v="11"/>
    <n v="3"/>
    <n v="4"/>
    <n v="80"/>
    <n v="0"/>
    <n v="8"/>
    <n v="5"/>
    <x v="1"/>
    <x v="8"/>
    <n v="4"/>
    <n v="0"/>
    <n v="2"/>
  </r>
  <r>
    <n v="47"/>
    <x v="1"/>
    <s v="Travel_Rarely"/>
    <n v="571"/>
    <x v="0"/>
    <n v="14"/>
    <n v="3"/>
    <s v="Medical"/>
    <n v="1"/>
    <n v="1503"/>
    <x v="1"/>
    <s v="Female"/>
    <n v="78"/>
    <n v="3"/>
    <n v="2"/>
    <x v="0"/>
    <x v="2"/>
    <s v="Married"/>
    <n v="4591"/>
    <n v="24200"/>
    <n v="3"/>
    <s v="Y"/>
    <x v="0"/>
    <n v="17"/>
    <n v="3"/>
    <n v="3"/>
    <n v="80"/>
    <n v="1"/>
    <n v="11"/>
    <n v="4"/>
    <x v="2"/>
    <x v="8"/>
    <n v="4"/>
    <n v="1"/>
    <n v="2"/>
  </r>
  <r>
    <n v="28"/>
    <x v="0"/>
    <s v="Travel_Frequently"/>
    <n v="289"/>
    <x v="1"/>
    <n v="2"/>
    <n v="2"/>
    <s v="Medical"/>
    <n v="1"/>
    <n v="1504"/>
    <x v="1"/>
    <s v="Male"/>
    <n v="38"/>
    <n v="2"/>
    <n v="1"/>
    <x v="2"/>
    <x v="3"/>
    <s v="Single"/>
    <n v="2561"/>
    <n v="5355"/>
    <n v="7"/>
    <s v="Y"/>
    <x v="1"/>
    <n v="11"/>
    <n v="3"/>
    <n v="3"/>
    <n v="80"/>
    <n v="0"/>
    <n v="8"/>
    <n v="2"/>
    <x v="2"/>
    <x v="2"/>
    <n v="0"/>
    <n v="0"/>
    <n v="0"/>
  </r>
  <r>
    <n v="28"/>
    <x v="1"/>
    <s v="Travel_Rarely"/>
    <n v="1423"/>
    <x v="1"/>
    <n v="1"/>
    <n v="3"/>
    <s v="Life Sciences"/>
    <n v="1"/>
    <n v="1506"/>
    <x v="3"/>
    <s v="Male"/>
    <n v="72"/>
    <n v="2"/>
    <n v="1"/>
    <x v="1"/>
    <x v="2"/>
    <s v="Divorced"/>
    <n v="1563"/>
    <n v="12530"/>
    <n v="1"/>
    <s v="Y"/>
    <x v="1"/>
    <n v="14"/>
    <n v="3"/>
    <n v="4"/>
    <n v="80"/>
    <n v="1"/>
    <n v="1"/>
    <n v="2"/>
    <x v="0"/>
    <x v="6"/>
    <n v="0"/>
    <n v="0"/>
    <n v="0"/>
  </r>
  <r>
    <n v="28"/>
    <x v="1"/>
    <s v="Travel_Frequently"/>
    <n v="467"/>
    <x v="0"/>
    <n v="7"/>
    <n v="3"/>
    <s v="Life Sciences"/>
    <n v="1"/>
    <n v="1507"/>
    <x v="1"/>
    <s v="Male"/>
    <n v="55"/>
    <n v="3"/>
    <n v="2"/>
    <x v="0"/>
    <x v="3"/>
    <s v="Single"/>
    <n v="4898"/>
    <n v="11827"/>
    <n v="0"/>
    <s v="Y"/>
    <x v="1"/>
    <n v="14"/>
    <n v="3"/>
    <n v="4"/>
    <n v="80"/>
    <n v="0"/>
    <n v="5"/>
    <n v="5"/>
    <x v="1"/>
    <x v="9"/>
    <n v="2"/>
    <n v="1"/>
    <n v="3"/>
  </r>
  <r>
    <n v="49"/>
    <x v="1"/>
    <s v="Travel_Rarely"/>
    <n v="271"/>
    <x v="1"/>
    <n v="3"/>
    <n v="2"/>
    <s v="Medical"/>
    <n v="1"/>
    <n v="1509"/>
    <x v="1"/>
    <s v="Female"/>
    <n v="43"/>
    <n v="2"/>
    <n v="2"/>
    <x v="2"/>
    <x v="3"/>
    <s v="Married"/>
    <n v="4789"/>
    <n v="23070"/>
    <n v="4"/>
    <s v="Y"/>
    <x v="1"/>
    <n v="25"/>
    <n v="4"/>
    <n v="1"/>
    <n v="80"/>
    <n v="1"/>
    <n v="10"/>
    <n v="3"/>
    <x v="1"/>
    <x v="11"/>
    <n v="2"/>
    <n v="1"/>
    <n v="2"/>
  </r>
  <r>
    <n v="29"/>
    <x v="1"/>
    <s v="Travel_Frequently"/>
    <n v="410"/>
    <x v="1"/>
    <n v="2"/>
    <n v="1"/>
    <s v="Life Sciences"/>
    <n v="1"/>
    <n v="1513"/>
    <x v="2"/>
    <s v="Female"/>
    <n v="97"/>
    <n v="3"/>
    <n v="1"/>
    <x v="2"/>
    <x v="1"/>
    <s v="Married"/>
    <n v="3180"/>
    <n v="4668"/>
    <n v="0"/>
    <s v="Y"/>
    <x v="1"/>
    <n v="13"/>
    <n v="3"/>
    <n v="3"/>
    <n v="80"/>
    <n v="3"/>
    <n v="4"/>
    <n v="3"/>
    <x v="1"/>
    <x v="11"/>
    <n v="2"/>
    <n v="0"/>
    <n v="2"/>
  </r>
  <r>
    <n v="28"/>
    <x v="1"/>
    <s v="Travel_Rarely"/>
    <n v="1083"/>
    <x v="1"/>
    <n v="29"/>
    <n v="1"/>
    <s v="Life Sciences"/>
    <n v="1"/>
    <n v="1514"/>
    <x v="1"/>
    <s v="Male"/>
    <n v="96"/>
    <n v="1"/>
    <n v="2"/>
    <x v="3"/>
    <x v="1"/>
    <s v="Married"/>
    <n v="6549"/>
    <n v="3173"/>
    <n v="1"/>
    <s v="Y"/>
    <x v="1"/>
    <n v="14"/>
    <n v="3"/>
    <n v="2"/>
    <n v="80"/>
    <n v="2"/>
    <n v="8"/>
    <n v="2"/>
    <x v="2"/>
    <x v="3"/>
    <n v="6"/>
    <n v="1"/>
    <n v="7"/>
  </r>
  <r>
    <n v="33"/>
    <x v="1"/>
    <s v="Travel_Rarely"/>
    <n v="516"/>
    <x v="1"/>
    <n v="8"/>
    <n v="5"/>
    <s v="Life Sciences"/>
    <n v="1"/>
    <n v="1515"/>
    <x v="2"/>
    <s v="Male"/>
    <n v="69"/>
    <n v="3"/>
    <n v="2"/>
    <x v="4"/>
    <x v="2"/>
    <s v="Single"/>
    <n v="6388"/>
    <n v="22049"/>
    <n v="2"/>
    <s v="Y"/>
    <x v="0"/>
    <n v="17"/>
    <n v="3"/>
    <n v="1"/>
    <n v="80"/>
    <n v="0"/>
    <n v="14"/>
    <n v="6"/>
    <x v="1"/>
    <x v="2"/>
    <n v="0"/>
    <n v="0"/>
    <n v="0"/>
  </r>
  <r>
    <n v="32"/>
    <x v="1"/>
    <s v="Travel_Rarely"/>
    <n v="495"/>
    <x v="1"/>
    <n v="10"/>
    <n v="3"/>
    <s v="Medical"/>
    <n v="1"/>
    <n v="1516"/>
    <x v="1"/>
    <s v="Male"/>
    <n v="64"/>
    <n v="3"/>
    <n v="3"/>
    <x v="5"/>
    <x v="0"/>
    <s v="Single"/>
    <n v="11244"/>
    <n v="21072"/>
    <n v="2"/>
    <s v="Y"/>
    <x v="1"/>
    <n v="25"/>
    <n v="4"/>
    <n v="2"/>
    <n v="80"/>
    <n v="0"/>
    <n v="10"/>
    <n v="5"/>
    <x v="3"/>
    <x v="8"/>
    <n v="2"/>
    <n v="0"/>
    <n v="0"/>
  </r>
  <r>
    <n v="54"/>
    <x v="1"/>
    <s v="Travel_Frequently"/>
    <n v="1050"/>
    <x v="1"/>
    <n v="11"/>
    <n v="4"/>
    <s v="Medical"/>
    <n v="1"/>
    <n v="1520"/>
    <x v="0"/>
    <s v="Female"/>
    <n v="87"/>
    <n v="3"/>
    <n v="4"/>
    <x v="5"/>
    <x v="0"/>
    <s v="Divorced"/>
    <n v="16032"/>
    <n v="24456"/>
    <n v="3"/>
    <s v="Y"/>
    <x v="1"/>
    <n v="20"/>
    <n v="4"/>
    <n v="1"/>
    <n v="80"/>
    <n v="1"/>
    <n v="26"/>
    <n v="2"/>
    <x v="1"/>
    <x v="13"/>
    <n v="9"/>
    <n v="1"/>
    <n v="12"/>
  </r>
  <r>
    <n v="29"/>
    <x v="0"/>
    <s v="Travel_Rarely"/>
    <n v="224"/>
    <x v="1"/>
    <n v="1"/>
    <n v="4"/>
    <s v="Technical Degree"/>
    <n v="1"/>
    <n v="1522"/>
    <x v="3"/>
    <s v="Male"/>
    <n v="100"/>
    <n v="2"/>
    <n v="1"/>
    <x v="1"/>
    <x v="3"/>
    <s v="Single"/>
    <n v="2362"/>
    <n v="7568"/>
    <n v="6"/>
    <s v="Y"/>
    <x v="1"/>
    <n v="13"/>
    <n v="3"/>
    <n v="3"/>
    <n v="80"/>
    <n v="0"/>
    <n v="11"/>
    <n v="2"/>
    <x v="0"/>
    <x v="7"/>
    <n v="7"/>
    <n v="0"/>
    <n v="7"/>
  </r>
  <r>
    <n v="44"/>
    <x v="1"/>
    <s v="Travel_Rarely"/>
    <n v="136"/>
    <x v="1"/>
    <n v="28"/>
    <n v="3"/>
    <s v="Life Sciences"/>
    <n v="1"/>
    <n v="1523"/>
    <x v="2"/>
    <s v="Male"/>
    <n v="32"/>
    <n v="3"/>
    <n v="4"/>
    <x v="7"/>
    <x v="3"/>
    <s v="Married"/>
    <n v="16328"/>
    <n v="22074"/>
    <n v="3"/>
    <s v="Y"/>
    <x v="1"/>
    <n v="13"/>
    <n v="3"/>
    <n v="3"/>
    <n v="80"/>
    <n v="1"/>
    <n v="24"/>
    <n v="1"/>
    <x v="3"/>
    <x v="23"/>
    <n v="6"/>
    <n v="14"/>
    <n v="17"/>
  </r>
  <r>
    <n v="39"/>
    <x v="1"/>
    <s v="Travel_Rarely"/>
    <n v="1089"/>
    <x v="1"/>
    <n v="6"/>
    <n v="3"/>
    <s v="Life Sciences"/>
    <n v="1"/>
    <n v="1525"/>
    <x v="0"/>
    <s v="Female"/>
    <n v="32"/>
    <n v="3"/>
    <n v="3"/>
    <x v="3"/>
    <x v="1"/>
    <s v="Single"/>
    <n v="8376"/>
    <n v="9150"/>
    <n v="4"/>
    <s v="Y"/>
    <x v="1"/>
    <n v="18"/>
    <n v="3"/>
    <n v="4"/>
    <n v="80"/>
    <n v="0"/>
    <n v="9"/>
    <n v="3"/>
    <x v="1"/>
    <x v="4"/>
    <n v="0"/>
    <n v="2"/>
    <n v="2"/>
  </r>
  <r>
    <n v="46"/>
    <x v="1"/>
    <s v="Travel_Rarely"/>
    <n v="228"/>
    <x v="0"/>
    <n v="3"/>
    <n v="3"/>
    <s v="Life Sciences"/>
    <n v="1"/>
    <n v="1527"/>
    <x v="1"/>
    <s v="Female"/>
    <n v="51"/>
    <n v="3"/>
    <n v="4"/>
    <x v="5"/>
    <x v="1"/>
    <s v="Married"/>
    <n v="16606"/>
    <n v="11380"/>
    <n v="8"/>
    <s v="Y"/>
    <x v="1"/>
    <n v="12"/>
    <n v="3"/>
    <n v="4"/>
    <n v="80"/>
    <n v="1"/>
    <n v="23"/>
    <n v="2"/>
    <x v="3"/>
    <x v="20"/>
    <n v="12"/>
    <n v="5"/>
    <n v="1"/>
  </r>
  <r>
    <n v="35"/>
    <x v="1"/>
    <s v="Travel_Rarely"/>
    <n v="1029"/>
    <x v="1"/>
    <n v="16"/>
    <n v="3"/>
    <s v="Life Sciences"/>
    <n v="1"/>
    <n v="1529"/>
    <x v="2"/>
    <s v="Female"/>
    <n v="91"/>
    <n v="2"/>
    <n v="3"/>
    <x v="4"/>
    <x v="1"/>
    <s v="Single"/>
    <n v="8606"/>
    <n v="21195"/>
    <n v="1"/>
    <s v="Y"/>
    <x v="1"/>
    <n v="19"/>
    <n v="3"/>
    <n v="4"/>
    <n v="80"/>
    <n v="0"/>
    <n v="11"/>
    <n v="3"/>
    <x v="0"/>
    <x v="19"/>
    <n v="8"/>
    <n v="3"/>
    <n v="3"/>
  </r>
  <r>
    <n v="23"/>
    <x v="1"/>
    <s v="Travel_Rarely"/>
    <n v="507"/>
    <x v="1"/>
    <n v="20"/>
    <n v="1"/>
    <s v="Life Sciences"/>
    <n v="1"/>
    <n v="1533"/>
    <x v="3"/>
    <s v="Male"/>
    <n v="97"/>
    <n v="3"/>
    <n v="2"/>
    <x v="2"/>
    <x v="2"/>
    <s v="Single"/>
    <n v="2272"/>
    <n v="24812"/>
    <n v="0"/>
    <s v="Y"/>
    <x v="1"/>
    <n v="14"/>
    <n v="3"/>
    <n v="2"/>
    <n v="80"/>
    <n v="0"/>
    <n v="5"/>
    <n v="2"/>
    <x v="1"/>
    <x v="9"/>
    <n v="3"/>
    <n v="1"/>
    <n v="2"/>
  </r>
  <r>
    <n v="40"/>
    <x v="0"/>
    <s v="Travel_Rarely"/>
    <n v="676"/>
    <x v="1"/>
    <n v="9"/>
    <n v="4"/>
    <s v="Life Sciences"/>
    <n v="1"/>
    <n v="1534"/>
    <x v="2"/>
    <s v="Male"/>
    <n v="86"/>
    <n v="3"/>
    <n v="1"/>
    <x v="2"/>
    <x v="3"/>
    <s v="Single"/>
    <n v="2018"/>
    <n v="21831"/>
    <n v="3"/>
    <s v="Y"/>
    <x v="1"/>
    <n v="14"/>
    <n v="3"/>
    <n v="2"/>
    <n v="80"/>
    <n v="0"/>
    <n v="15"/>
    <n v="3"/>
    <x v="0"/>
    <x v="8"/>
    <n v="4"/>
    <n v="1"/>
    <n v="0"/>
  </r>
  <r>
    <n v="34"/>
    <x v="1"/>
    <s v="Travel_Rarely"/>
    <n v="971"/>
    <x v="0"/>
    <n v="1"/>
    <n v="3"/>
    <s v="Technical Degree"/>
    <n v="1"/>
    <n v="1535"/>
    <x v="2"/>
    <s v="Male"/>
    <n v="64"/>
    <n v="2"/>
    <n v="3"/>
    <x v="0"/>
    <x v="2"/>
    <s v="Married"/>
    <n v="7083"/>
    <n v="12288"/>
    <n v="1"/>
    <s v="Y"/>
    <x v="0"/>
    <n v="14"/>
    <n v="3"/>
    <n v="4"/>
    <n v="80"/>
    <n v="0"/>
    <n v="10"/>
    <n v="3"/>
    <x v="1"/>
    <x v="1"/>
    <n v="9"/>
    <n v="8"/>
    <n v="6"/>
  </r>
  <r>
    <n v="31"/>
    <x v="0"/>
    <s v="Travel_Frequently"/>
    <n v="561"/>
    <x v="1"/>
    <n v="3"/>
    <n v="3"/>
    <s v="Life Sciences"/>
    <n v="1"/>
    <n v="1537"/>
    <x v="2"/>
    <s v="Female"/>
    <n v="33"/>
    <n v="3"/>
    <n v="1"/>
    <x v="1"/>
    <x v="2"/>
    <s v="Single"/>
    <n v="4084"/>
    <n v="4156"/>
    <n v="1"/>
    <s v="Y"/>
    <x v="1"/>
    <n v="12"/>
    <n v="3"/>
    <n v="1"/>
    <n v="80"/>
    <n v="0"/>
    <n v="7"/>
    <n v="2"/>
    <x v="0"/>
    <x v="5"/>
    <n v="2"/>
    <n v="7"/>
    <n v="7"/>
  </r>
  <r>
    <n v="50"/>
    <x v="1"/>
    <s v="Travel_Frequently"/>
    <n v="333"/>
    <x v="1"/>
    <n v="22"/>
    <n v="5"/>
    <s v="Medical"/>
    <n v="1"/>
    <n v="1539"/>
    <x v="1"/>
    <s v="Male"/>
    <n v="88"/>
    <n v="1"/>
    <n v="4"/>
    <x v="7"/>
    <x v="0"/>
    <s v="Single"/>
    <n v="14411"/>
    <n v="24450"/>
    <n v="1"/>
    <s v="Y"/>
    <x v="0"/>
    <n v="13"/>
    <n v="3"/>
    <n v="4"/>
    <n v="80"/>
    <n v="0"/>
    <n v="32"/>
    <n v="2"/>
    <x v="1"/>
    <x v="32"/>
    <n v="6"/>
    <n v="13"/>
    <n v="9"/>
  </r>
  <r>
    <n v="34"/>
    <x v="1"/>
    <s v="Travel_Rarely"/>
    <n v="1440"/>
    <x v="0"/>
    <n v="7"/>
    <n v="2"/>
    <s v="Technical Degree"/>
    <n v="1"/>
    <n v="1541"/>
    <x v="0"/>
    <s v="Male"/>
    <n v="55"/>
    <n v="3"/>
    <n v="1"/>
    <x v="6"/>
    <x v="2"/>
    <s v="Married"/>
    <n v="2308"/>
    <n v="4944"/>
    <n v="0"/>
    <s v="Y"/>
    <x v="0"/>
    <n v="25"/>
    <n v="4"/>
    <n v="2"/>
    <n v="80"/>
    <n v="1"/>
    <n v="12"/>
    <n v="4"/>
    <x v="1"/>
    <x v="19"/>
    <n v="10"/>
    <n v="5"/>
    <n v="7"/>
  </r>
  <r>
    <n v="42"/>
    <x v="1"/>
    <s v="Travel_Rarely"/>
    <n v="1210"/>
    <x v="1"/>
    <n v="2"/>
    <n v="3"/>
    <s v="Medical"/>
    <n v="1"/>
    <n v="1542"/>
    <x v="1"/>
    <s v="Male"/>
    <n v="68"/>
    <n v="2"/>
    <n v="1"/>
    <x v="2"/>
    <x v="1"/>
    <s v="Married"/>
    <n v="4841"/>
    <n v="24052"/>
    <n v="4"/>
    <s v="Y"/>
    <x v="1"/>
    <n v="14"/>
    <n v="3"/>
    <n v="2"/>
    <n v="80"/>
    <n v="1"/>
    <n v="4"/>
    <n v="3"/>
    <x v="1"/>
    <x v="6"/>
    <n v="0"/>
    <n v="0"/>
    <n v="0"/>
  </r>
  <r>
    <n v="37"/>
    <x v="1"/>
    <s v="Travel_Rarely"/>
    <n v="674"/>
    <x v="1"/>
    <n v="13"/>
    <n v="3"/>
    <s v="Medical"/>
    <n v="1"/>
    <n v="1543"/>
    <x v="3"/>
    <s v="Male"/>
    <n v="47"/>
    <n v="3"/>
    <n v="2"/>
    <x v="1"/>
    <x v="0"/>
    <s v="Married"/>
    <n v="4285"/>
    <n v="3031"/>
    <n v="1"/>
    <s v="Y"/>
    <x v="1"/>
    <n v="17"/>
    <n v="3"/>
    <n v="1"/>
    <n v="80"/>
    <n v="0"/>
    <n v="10"/>
    <n v="2"/>
    <x v="1"/>
    <x v="1"/>
    <n v="8"/>
    <n v="3"/>
    <n v="7"/>
  </r>
  <r>
    <n v="29"/>
    <x v="1"/>
    <s v="Travel_Rarely"/>
    <n v="441"/>
    <x v="1"/>
    <n v="8"/>
    <n v="1"/>
    <s v="Other"/>
    <n v="1"/>
    <n v="1544"/>
    <x v="1"/>
    <s v="Female"/>
    <n v="39"/>
    <n v="1"/>
    <n v="2"/>
    <x v="4"/>
    <x v="3"/>
    <s v="Married"/>
    <n v="9715"/>
    <n v="7288"/>
    <n v="3"/>
    <s v="Y"/>
    <x v="1"/>
    <n v="13"/>
    <n v="3"/>
    <n v="3"/>
    <n v="80"/>
    <n v="1"/>
    <n v="9"/>
    <n v="3"/>
    <x v="1"/>
    <x v="5"/>
    <n v="7"/>
    <n v="0"/>
    <n v="7"/>
  </r>
  <r>
    <n v="33"/>
    <x v="1"/>
    <s v="Travel_Rarely"/>
    <n v="575"/>
    <x v="1"/>
    <n v="25"/>
    <n v="3"/>
    <s v="Life Sciences"/>
    <n v="1"/>
    <n v="1545"/>
    <x v="2"/>
    <s v="Male"/>
    <n v="44"/>
    <n v="2"/>
    <n v="2"/>
    <x v="3"/>
    <x v="1"/>
    <s v="Single"/>
    <n v="4320"/>
    <n v="24152"/>
    <n v="1"/>
    <s v="Y"/>
    <x v="1"/>
    <n v="13"/>
    <n v="3"/>
    <n v="4"/>
    <n v="80"/>
    <n v="0"/>
    <n v="5"/>
    <n v="2"/>
    <x v="1"/>
    <x v="8"/>
    <n v="3"/>
    <n v="0"/>
    <n v="2"/>
  </r>
  <r>
    <n v="45"/>
    <x v="1"/>
    <s v="Travel_Rarely"/>
    <n v="950"/>
    <x v="1"/>
    <n v="28"/>
    <n v="3"/>
    <s v="Technical Degree"/>
    <n v="1"/>
    <n v="1546"/>
    <x v="2"/>
    <s v="Male"/>
    <n v="97"/>
    <n v="3"/>
    <n v="1"/>
    <x v="1"/>
    <x v="0"/>
    <s v="Married"/>
    <n v="2132"/>
    <n v="4585"/>
    <n v="4"/>
    <s v="Y"/>
    <x v="1"/>
    <n v="20"/>
    <n v="4"/>
    <n v="4"/>
    <n v="80"/>
    <n v="1"/>
    <n v="8"/>
    <n v="3"/>
    <x v="1"/>
    <x v="8"/>
    <n v="4"/>
    <n v="0"/>
    <n v="3"/>
  </r>
  <r>
    <n v="42"/>
    <x v="1"/>
    <s v="Travel_Frequently"/>
    <n v="288"/>
    <x v="1"/>
    <n v="2"/>
    <n v="3"/>
    <s v="Life Sciences"/>
    <n v="1"/>
    <n v="1547"/>
    <x v="2"/>
    <s v="Male"/>
    <n v="40"/>
    <n v="3"/>
    <n v="3"/>
    <x v="4"/>
    <x v="0"/>
    <s v="Married"/>
    <n v="10124"/>
    <n v="18611"/>
    <n v="2"/>
    <s v="Y"/>
    <x v="0"/>
    <n v="14"/>
    <n v="3"/>
    <n v="3"/>
    <n v="80"/>
    <n v="1"/>
    <n v="24"/>
    <n v="3"/>
    <x v="0"/>
    <x v="23"/>
    <n v="8"/>
    <n v="13"/>
    <n v="9"/>
  </r>
  <r>
    <n v="40"/>
    <x v="1"/>
    <s v="Travel_Rarely"/>
    <n v="1342"/>
    <x v="0"/>
    <n v="9"/>
    <n v="2"/>
    <s v="Medical"/>
    <n v="1"/>
    <n v="1548"/>
    <x v="3"/>
    <s v="Male"/>
    <n v="47"/>
    <n v="3"/>
    <n v="2"/>
    <x v="0"/>
    <x v="3"/>
    <s v="Married"/>
    <n v="5473"/>
    <n v="19345"/>
    <n v="0"/>
    <s v="Y"/>
    <x v="1"/>
    <n v="12"/>
    <n v="3"/>
    <n v="4"/>
    <n v="80"/>
    <n v="0"/>
    <n v="9"/>
    <n v="5"/>
    <x v="3"/>
    <x v="3"/>
    <n v="4"/>
    <n v="7"/>
    <n v="1"/>
  </r>
  <r>
    <n v="33"/>
    <x v="1"/>
    <s v="Travel_Rarely"/>
    <n v="589"/>
    <x v="1"/>
    <n v="28"/>
    <n v="4"/>
    <s v="Life Sciences"/>
    <n v="1"/>
    <n v="1549"/>
    <x v="0"/>
    <s v="Male"/>
    <n v="79"/>
    <n v="3"/>
    <n v="2"/>
    <x v="2"/>
    <x v="2"/>
    <s v="Married"/>
    <n v="5207"/>
    <n v="22949"/>
    <n v="1"/>
    <s v="Y"/>
    <x v="0"/>
    <n v="12"/>
    <n v="3"/>
    <n v="2"/>
    <n v="80"/>
    <n v="1"/>
    <n v="15"/>
    <n v="3"/>
    <x v="1"/>
    <x v="15"/>
    <n v="14"/>
    <n v="5"/>
    <n v="7"/>
  </r>
  <r>
    <n v="40"/>
    <x v="1"/>
    <s v="Travel_Rarely"/>
    <n v="898"/>
    <x v="2"/>
    <n v="6"/>
    <n v="2"/>
    <s v="Medical"/>
    <n v="1"/>
    <n v="1550"/>
    <x v="1"/>
    <s v="Male"/>
    <n v="38"/>
    <n v="3"/>
    <n v="4"/>
    <x v="5"/>
    <x v="0"/>
    <s v="Single"/>
    <n v="16437"/>
    <n v="17381"/>
    <n v="1"/>
    <s v="Y"/>
    <x v="0"/>
    <n v="21"/>
    <n v="4"/>
    <n v="4"/>
    <n v="80"/>
    <n v="0"/>
    <n v="21"/>
    <n v="2"/>
    <x v="1"/>
    <x v="17"/>
    <n v="7"/>
    <n v="7"/>
    <n v="7"/>
  </r>
  <r>
    <n v="24"/>
    <x v="1"/>
    <s v="Travel_Rarely"/>
    <n v="350"/>
    <x v="1"/>
    <n v="21"/>
    <n v="2"/>
    <s v="Technical Degree"/>
    <n v="1"/>
    <n v="1551"/>
    <x v="1"/>
    <s v="Male"/>
    <n v="57"/>
    <n v="2"/>
    <n v="1"/>
    <x v="2"/>
    <x v="3"/>
    <s v="Divorced"/>
    <n v="2296"/>
    <n v="10036"/>
    <n v="0"/>
    <s v="Y"/>
    <x v="1"/>
    <n v="14"/>
    <n v="3"/>
    <n v="2"/>
    <n v="80"/>
    <n v="3"/>
    <n v="2"/>
    <n v="3"/>
    <x v="1"/>
    <x v="6"/>
    <n v="1"/>
    <n v="0"/>
    <n v="0"/>
  </r>
  <r>
    <n v="40"/>
    <x v="1"/>
    <s v="Non-Travel"/>
    <n v="1142"/>
    <x v="1"/>
    <n v="8"/>
    <n v="2"/>
    <s v="Life Sciences"/>
    <n v="1"/>
    <n v="1552"/>
    <x v="2"/>
    <s v="Male"/>
    <n v="72"/>
    <n v="3"/>
    <n v="2"/>
    <x v="4"/>
    <x v="0"/>
    <s v="Divorced"/>
    <n v="4069"/>
    <n v="8841"/>
    <n v="3"/>
    <s v="Y"/>
    <x v="0"/>
    <n v="18"/>
    <n v="3"/>
    <n v="3"/>
    <n v="80"/>
    <n v="0"/>
    <n v="8"/>
    <n v="2"/>
    <x v="1"/>
    <x v="4"/>
    <n v="2"/>
    <n v="2"/>
    <n v="2"/>
  </r>
  <r>
    <n v="45"/>
    <x v="1"/>
    <s v="Travel_Rarely"/>
    <n v="538"/>
    <x v="1"/>
    <n v="1"/>
    <n v="4"/>
    <s v="Technical Degree"/>
    <n v="1"/>
    <n v="1553"/>
    <x v="3"/>
    <s v="Male"/>
    <n v="66"/>
    <n v="3"/>
    <n v="3"/>
    <x v="4"/>
    <x v="1"/>
    <s v="Divorced"/>
    <n v="7441"/>
    <n v="20933"/>
    <n v="1"/>
    <s v="Y"/>
    <x v="1"/>
    <n v="12"/>
    <n v="3"/>
    <n v="1"/>
    <n v="80"/>
    <n v="3"/>
    <n v="10"/>
    <n v="4"/>
    <x v="1"/>
    <x v="1"/>
    <n v="8"/>
    <n v="7"/>
    <n v="7"/>
  </r>
  <r>
    <n v="35"/>
    <x v="1"/>
    <s v="Travel_Rarely"/>
    <n v="1402"/>
    <x v="0"/>
    <n v="28"/>
    <n v="4"/>
    <s v="Life Sciences"/>
    <n v="1"/>
    <n v="1554"/>
    <x v="0"/>
    <s v="Female"/>
    <n v="98"/>
    <n v="2"/>
    <n v="1"/>
    <x v="6"/>
    <x v="2"/>
    <s v="Married"/>
    <n v="2430"/>
    <n v="26204"/>
    <n v="0"/>
    <s v="Y"/>
    <x v="1"/>
    <n v="23"/>
    <n v="4"/>
    <n v="1"/>
    <n v="80"/>
    <n v="2"/>
    <n v="6"/>
    <n v="5"/>
    <x v="1"/>
    <x v="8"/>
    <n v="3"/>
    <n v="4"/>
    <n v="2"/>
  </r>
  <r>
    <n v="32"/>
    <x v="1"/>
    <s v="Travel_Rarely"/>
    <n v="824"/>
    <x v="1"/>
    <n v="5"/>
    <n v="2"/>
    <s v="Life Sciences"/>
    <n v="1"/>
    <n v="1555"/>
    <x v="2"/>
    <s v="Female"/>
    <n v="67"/>
    <n v="2"/>
    <n v="2"/>
    <x v="1"/>
    <x v="1"/>
    <s v="Married"/>
    <n v="5878"/>
    <n v="15624"/>
    <n v="3"/>
    <s v="Y"/>
    <x v="1"/>
    <n v="12"/>
    <n v="3"/>
    <n v="1"/>
    <n v="80"/>
    <n v="1"/>
    <n v="12"/>
    <n v="2"/>
    <x v="1"/>
    <x v="5"/>
    <n v="1"/>
    <n v="2"/>
    <n v="5"/>
  </r>
  <r>
    <n v="36"/>
    <x v="1"/>
    <s v="Travel_Rarely"/>
    <n v="1157"/>
    <x v="0"/>
    <n v="2"/>
    <n v="4"/>
    <s v="Life Sciences"/>
    <n v="1"/>
    <n v="1556"/>
    <x v="1"/>
    <s v="Male"/>
    <n v="70"/>
    <n v="3"/>
    <n v="1"/>
    <x v="6"/>
    <x v="0"/>
    <s v="Single"/>
    <n v="2644"/>
    <n v="17001"/>
    <n v="3"/>
    <s v="Y"/>
    <x v="0"/>
    <n v="21"/>
    <n v="4"/>
    <n v="4"/>
    <n v="80"/>
    <n v="0"/>
    <n v="7"/>
    <n v="3"/>
    <x v="2"/>
    <x v="11"/>
    <n v="2"/>
    <n v="1"/>
    <n v="2"/>
  </r>
  <r>
    <n v="48"/>
    <x v="1"/>
    <s v="Travel_Rarely"/>
    <n v="492"/>
    <x v="0"/>
    <n v="16"/>
    <n v="4"/>
    <s v="Life Sciences"/>
    <n v="1"/>
    <n v="1557"/>
    <x v="1"/>
    <s v="Female"/>
    <n v="96"/>
    <n v="3"/>
    <n v="2"/>
    <x v="0"/>
    <x v="2"/>
    <s v="Divorced"/>
    <n v="6439"/>
    <n v="13693"/>
    <n v="8"/>
    <s v="Y"/>
    <x v="1"/>
    <n v="14"/>
    <n v="3"/>
    <n v="3"/>
    <n v="80"/>
    <n v="1"/>
    <n v="18"/>
    <n v="2"/>
    <x v="1"/>
    <x v="3"/>
    <n v="7"/>
    <n v="7"/>
    <n v="7"/>
  </r>
  <r>
    <n v="29"/>
    <x v="1"/>
    <s v="Travel_Rarely"/>
    <n v="598"/>
    <x v="1"/>
    <n v="9"/>
    <n v="3"/>
    <s v="Life Sciences"/>
    <n v="1"/>
    <n v="1558"/>
    <x v="1"/>
    <s v="Male"/>
    <n v="91"/>
    <n v="4"/>
    <n v="1"/>
    <x v="1"/>
    <x v="2"/>
    <s v="Married"/>
    <n v="2451"/>
    <n v="22376"/>
    <n v="6"/>
    <s v="Y"/>
    <x v="1"/>
    <n v="18"/>
    <n v="3"/>
    <n v="1"/>
    <n v="80"/>
    <n v="2"/>
    <n v="5"/>
    <n v="2"/>
    <x v="2"/>
    <x v="6"/>
    <n v="0"/>
    <n v="0"/>
    <n v="0"/>
  </r>
  <r>
    <n v="33"/>
    <x v="1"/>
    <s v="Travel_Rarely"/>
    <n v="1242"/>
    <x v="0"/>
    <n v="8"/>
    <n v="4"/>
    <s v="Life Sciences"/>
    <n v="1"/>
    <n v="1560"/>
    <x v="3"/>
    <s v="Male"/>
    <n v="46"/>
    <n v="3"/>
    <n v="2"/>
    <x v="0"/>
    <x v="3"/>
    <s v="Married"/>
    <n v="6392"/>
    <n v="10589"/>
    <n v="2"/>
    <s v="Y"/>
    <x v="1"/>
    <n v="13"/>
    <n v="3"/>
    <n v="4"/>
    <n v="80"/>
    <n v="1"/>
    <n v="8"/>
    <n v="6"/>
    <x v="0"/>
    <x v="4"/>
    <n v="2"/>
    <n v="2"/>
    <n v="2"/>
  </r>
  <r>
    <n v="30"/>
    <x v="0"/>
    <s v="Travel_Rarely"/>
    <n v="740"/>
    <x v="0"/>
    <n v="1"/>
    <n v="3"/>
    <s v="Life Sciences"/>
    <n v="1"/>
    <n v="1562"/>
    <x v="0"/>
    <s v="Male"/>
    <n v="64"/>
    <n v="2"/>
    <n v="2"/>
    <x v="0"/>
    <x v="3"/>
    <s v="Married"/>
    <n v="9714"/>
    <n v="5323"/>
    <n v="1"/>
    <s v="Y"/>
    <x v="1"/>
    <n v="11"/>
    <n v="3"/>
    <n v="4"/>
    <n v="80"/>
    <n v="1"/>
    <n v="10"/>
    <n v="4"/>
    <x v="1"/>
    <x v="1"/>
    <n v="8"/>
    <n v="6"/>
    <n v="7"/>
  </r>
  <r>
    <n v="38"/>
    <x v="1"/>
    <s v="Travel_Frequently"/>
    <n v="888"/>
    <x v="2"/>
    <n v="10"/>
    <n v="4"/>
    <s v="Human Resources"/>
    <n v="1"/>
    <n v="1563"/>
    <x v="1"/>
    <s v="Male"/>
    <n v="71"/>
    <n v="3"/>
    <n v="2"/>
    <x v="8"/>
    <x v="2"/>
    <s v="Married"/>
    <n v="6077"/>
    <n v="14814"/>
    <n v="3"/>
    <s v="Y"/>
    <x v="1"/>
    <n v="11"/>
    <n v="3"/>
    <n v="3"/>
    <n v="80"/>
    <n v="0"/>
    <n v="10"/>
    <n v="2"/>
    <x v="1"/>
    <x v="0"/>
    <n v="3"/>
    <n v="1"/>
    <n v="2"/>
  </r>
  <r>
    <n v="35"/>
    <x v="1"/>
    <s v="Travel_Rarely"/>
    <n v="992"/>
    <x v="1"/>
    <n v="1"/>
    <n v="3"/>
    <s v="Medical"/>
    <n v="1"/>
    <n v="1564"/>
    <x v="2"/>
    <s v="Male"/>
    <n v="68"/>
    <n v="2"/>
    <n v="1"/>
    <x v="2"/>
    <x v="3"/>
    <s v="Single"/>
    <n v="2450"/>
    <n v="21731"/>
    <n v="1"/>
    <s v="Y"/>
    <x v="1"/>
    <n v="19"/>
    <n v="3"/>
    <n v="2"/>
    <n v="80"/>
    <n v="0"/>
    <n v="3"/>
    <n v="3"/>
    <x v="1"/>
    <x v="11"/>
    <n v="0"/>
    <n v="1"/>
    <n v="2"/>
  </r>
  <r>
    <n v="30"/>
    <x v="1"/>
    <s v="Travel_Rarely"/>
    <n v="1288"/>
    <x v="0"/>
    <n v="29"/>
    <n v="4"/>
    <s v="Technical Degree"/>
    <n v="1"/>
    <n v="1568"/>
    <x v="1"/>
    <s v="Male"/>
    <n v="33"/>
    <n v="3"/>
    <n v="3"/>
    <x v="0"/>
    <x v="1"/>
    <s v="Married"/>
    <n v="9250"/>
    <n v="17799"/>
    <n v="3"/>
    <s v="Y"/>
    <x v="1"/>
    <n v="12"/>
    <n v="3"/>
    <n v="2"/>
    <n v="80"/>
    <n v="1"/>
    <n v="9"/>
    <n v="3"/>
    <x v="1"/>
    <x v="9"/>
    <n v="2"/>
    <n v="1"/>
    <n v="3"/>
  </r>
  <r>
    <n v="35"/>
    <x v="0"/>
    <s v="Travel_Rarely"/>
    <n v="104"/>
    <x v="1"/>
    <n v="2"/>
    <n v="3"/>
    <s v="Life Sciences"/>
    <n v="1"/>
    <n v="1569"/>
    <x v="3"/>
    <s v="Female"/>
    <n v="69"/>
    <n v="3"/>
    <n v="1"/>
    <x v="2"/>
    <x v="3"/>
    <s v="Divorced"/>
    <n v="2074"/>
    <n v="26619"/>
    <n v="1"/>
    <s v="Y"/>
    <x v="0"/>
    <n v="12"/>
    <n v="3"/>
    <n v="4"/>
    <n v="80"/>
    <n v="1"/>
    <n v="1"/>
    <n v="2"/>
    <x v="1"/>
    <x v="6"/>
    <n v="0"/>
    <n v="0"/>
    <n v="0"/>
  </r>
  <r>
    <n v="53"/>
    <x v="0"/>
    <s v="Travel_Rarely"/>
    <n v="607"/>
    <x v="1"/>
    <n v="2"/>
    <n v="5"/>
    <s v="Technical Degree"/>
    <n v="1"/>
    <n v="1572"/>
    <x v="1"/>
    <s v="Female"/>
    <n v="78"/>
    <n v="2"/>
    <n v="3"/>
    <x v="3"/>
    <x v="0"/>
    <s v="Married"/>
    <n v="10169"/>
    <n v="14618"/>
    <n v="0"/>
    <s v="Y"/>
    <x v="1"/>
    <n v="16"/>
    <n v="3"/>
    <n v="2"/>
    <n v="80"/>
    <n v="1"/>
    <n v="34"/>
    <n v="4"/>
    <x v="1"/>
    <x v="26"/>
    <n v="7"/>
    <n v="1"/>
    <n v="9"/>
  </r>
  <r>
    <n v="38"/>
    <x v="0"/>
    <s v="Travel_Rarely"/>
    <n v="903"/>
    <x v="1"/>
    <n v="2"/>
    <n v="3"/>
    <s v="Medical"/>
    <n v="1"/>
    <n v="1573"/>
    <x v="1"/>
    <s v="Male"/>
    <n v="81"/>
    <n v="3"/>
    <n v="2"/>
    <x v="3"/>
    <x v="1"/>
    <s v="Married"/>
    <n v="4855"/>
    <n v="7653"/>
    <n v="4"/>
    <s v="Y"/>
    <x v="1"/>
    <n v="11"/>
    <n v="3"/>
    <n v="1"/>
    <n v="80"/>
    <n v="2"/>
    <n v="7"/>
    <n v="2"/>
    <x v="1"/>
    <x v="8"/>
    <n v="2"/>
    <n v="1"/>
    <n v="4"/>
  </r>
  <r>
    <n v="32"/>
    <x v="1"/>
    <s v="Non-Travel"/>
    <n v="1200"/>
    <x v="1"/>
    <n v="1"/>
    <n v="4"/>
    <s v="Technical Degree"/>
    <n v="1"/>
    <n v="1574"/>
    <x v="2"/>
    <s v="Male"/>
    <n v="62"/>
    <n v="3"/>
    <n v="2"/>
    <x v="1"/>
    <x v="3"/>
    <s v="Married"/>
    <n v="4087"/>
    <n v="25174"/>
    <n v="4"/>
    <s v="Y"/>
    <x v="1"/>
    <n v="14"/>
    <n v="3"/>
    <n v="2"/>
    <n v="80"/>
    <n v="1"/>
    <n v="9"/>
    <n v="3"/>
    <x v="2"/>
    <x v="0"/>
    <n v="5"/>
    <n v="1"/>
    <n v="2"/>
  </r>
  <r>
    <n v="48"/>
    <x v="1"/>
    <s v="Travel_Rarely"/>
    <n v="1108"/>
    <x v="1"/>
    <n v="15"/>
    <n v="4"/>
    <s v="Other"/>
    <n v="1"/>
    <n v="1576"/>
    <x v="1"/>
    <s v="Female"/>
    <n v="65"/>
    <n v="3"/>
    <n v="1"/>
    <x v="1"/>
    <x v="3"/>
    <s v="Married"/>
    <n v="2367"/>
    <n v="16530"/>
    <n v="8"/>
    <s v="Y"/>
    <x v="1"/>
    <n v="12"/>
    <n v="3"/>
    <n v="4"/>
    <n v="80"/>
    <n v="1"/>
    <n v="10"/>
    <n v="3"/>
    <x v="2"/>
    <x v="3"/>
    <n v="2"/>
    <n v="7"/>
    <n v="6"/>
  </r>
  <r>
    <n v="34"/>
    <x v="1"/>
    <s v="Travel_Rarely"/>
    <n v="479"/>
    <x v="1"/>
    <n v="7"/>
    <n v="4"/>
    <s v="Medical"/>
    <n v="1"/>
    <n v="1577"/>
    <x v="3"/>
    <s v="Male"/>
    <n v="35"/>
    <n v="3"/>
    <n v="1"/>
    <x v="1"/>
    <x v="0"/>
    <s v="Single"/>
    <n v="2972"/>
    <n v="22061"/>
    <n v="1"/>
    <s v="Y"/>
    <x v="1"/>
    <n v="13"/>
    <n v="3"/>
    <n v="3"/>
    <n v="80"/>
    <n v="0"/>
    <n v="1"/>
    <n v="4"/>
    <x v="0"/>
    <x v="6"/>
    <n v="0"/>
    <n v="0"/>
    <n v="0"/>
  </r>
  <r>
    <n v="55"/>
    <x v="1"/>
    <s v="Travel_Rarely"/>
    <n v="685"/>
    <x v="0"/>
    <n v="26"/>
    <n v="5"/>
    <s v="Marketing"/>
    <n v="1"/>
    <n v="1578"/>
    <x v="1"/>
    <s v="Male"/>
    <n v="60"/>
    <n v="2"/>
    <n v="5"/>
    <x v="5"/>
    <x v="0"/>
    <s v="Married"/>
    <n v="19586"/>
    <n v="23037"/>
    <n v="1"/>
    <s v="Y"/>
    <x v="1"/>
    <n v="21"/>
    <n v="4"/>
    <n v="3"/>
    <n v="80"/>
    <n v="1"/>
    <n v="36"/>
    <n v="3"/>
    <x v="1"/>
    <x v="28"/>
    <n v="6"/>
    <n v="2"/>
    <n v="13"/>
  </r>
  <r>
    <n v="34"/>
    <x v="1"/>
    <s v="Travel_Rarely"/>
    <n v="1351"/>
    <x v="1"/>
    <n v="1"/>
    <n v="4"/>
    <s v="Life Sciences"/>
    <n v="1"/>
    <n v="1580"/>
    <x v="0"/>
    <s v="Male"/>
    <n v="45"/>
    <n v="3"/>
    <n v="2"/>
    <x v="1"/>
    <x v="0"/>
    <s v="Married"/>
    <n v="5484"/>
    <n v="13008"/>
    <n v="9"/>
    <s v="Y"/>
    <x v="1"/>
    <n v="17"/>
    <n v="3"/>
    <n v="2"/>
    <n v="80"/>
    <n v="1"/>
    <n v="9"/>
    <n v="3"/>
    <x v="2"/>
    <x v="4"/>
    <n v="2"/>
    <n v="2"/>
    <n v="1"/>
  </r>
  <r>
    <n v="26"/>
    <x v="1"/>
    <s v="Travel_Rarely"/>
    <n v="474"/>
    <x v="1"/>
    <n v="3"/>
    <n v="3"/>
    <s v="Life Sciences"/>
    <n v="1"/>
    <n v="1581"/>
    <x v="3"/>
    <s v="Female"/>
    <n v="89"/>
    <n v="3"/>
    <n v="1"/>
    <x v="1"/>
    <x v="0"/>
    <s v="Married"/>
    <n v="2061"/>
    <n v="11133"/>
    <n v="1"/>
    <s v="Y"/>
    <x v="1"/>
    <n v="21"/>
    <n v="4"/>
    <n v="1"/>
    <n v="80"/>
    <n v="0"/>
    <n v="1"/>
    <n v="5"/>
    <x v="1"/>
    <x v="6"/>
    <n v="0"/>
    <n v="0"/>
    <n v="0"/>
  </r>
  <r>
    <n v="38"/>
    <x v="1"/>
    <s v="Travel_Rarely"/>
    <n v="1245"/>
    <x v="0"/>
    <n v="14"/>
    <n v="3"/>
    <s v="Life Sciences"/>
    <n v="1"/>
    <n v="1582"/>
    <x v="1"/>
    <s v="Male"/>
    <n v="80"/>
    <n v="3"/>
    <n v="2"/>
    <x v="0"/>
    <x v="1"/>
    <s v="Married"/>
    <n v="9924"/>
    <n v="12355"/>
    <n v="0"/>
    <s v="Y"/>
    <x v="1"/>
    <n v="11"/>
    <n v="3"/>
    <n v="4"/>
    <n v="80"/>
    <n v="1"/>
    <n v="10"/>
    <n v="3"/>
    <x v="1"/>
    <x v="7"/>
    <n v="8"/>
    <n v="7"/>
    <n v="7"/>
  </r>
  <r>
    <n v="38"/>
    <x v="1"/>
    <s v="Travel_Rarely"/>
    <n v="437"/>
    <x v="0"/>
    <n v="16"/>
    <n v="3"/>
    <s v="Life Sciences"/>
    <n v="1"/>
    <n v="1583"/>
    <x v="0"/>
    <s v="Female"/>
    <n v="90"/>
    <n v="3"/>
    <n v="2"/>
    <x v="0"/>
    <x v="1"/>
    <s v="Single"/>
    <n v="4198"/>
    <n v="16379"/>
    <n v="2"/>
    <s v="Y"/>
    <x v="1"/>
    <n v="12"/>
    <n v="3"/>
    <n v="2"/>
    <n v="80"/>
    <n v="0"/>
    <n v="8"/>
    <n v="5"/>
    <x v="3"/>
    <x v="11"/>
    <n v="2"/>
    <n v="1"/>
    <n v="2"/>
  </r>
  <r>
    <n v="36"/>
    <x v="1"/>
    <s v="Travel_Rarely"/>
    <n v="884"/>
    <x v="0"/>
    <n v="1"/>
    <n v="4"/>
    <s v="Life Sciences"/>
    <n v="1"/>
    <n v="1585"/>
    <x v="0"/>
    <s v="Female"/>
    <n v="73"/>
    <n v="3"/>
    <n v="2"/>
    <x v="0"/>
    <x v="2"/>
    <s v="Single"/>
    <n v="6815"/>
    <n v="21447"/>
    <n v="6"/>
    <s v="Y"/>
    <x v="1"/>
    <n v="13"/>
    <n v="3"/>
    <n v="1"/>
    <n v="80"/>
    <n v="0"/>
    <n v="15"/>
    <n v="5"/>
    <x v="1"/>
    <x v="6"/>
    <n v="0"/>
    <n v="0"/>
    <n v="0"/>
  </r>
  <r>
    <n v="29"/>
    <x v="1"/>
    <s v="Travel_Rarely"/>
    <n v="1370"/>
    <x v="1"/>
    <n v="3"/>
    <n v="1"/>
    <s v="Medical"/>
    <n v="1"/>
    <n v="1586"/>
    <x v="0"/>
    <s v="Male"/>
    <n v="87"/>
    <n v="3"/>
    <n v="1"/>
    <x v="2"/>
    <x v="3"/>
    <s v="Single"/>
    <n v="4723"/>
    <n v="16213"/>
    <n v="1"/>
    <s v="Y"/>
    <x v="0"/>
    <n v="18"/>
    <n v="3"/>
    <n v="4"/>
    <n v="80"/>
    <n v="0"/>
    <n v="10"/>
    <n v="3"/>
    <x v="1"/>
    <x v="1"/>
    <n v="9"/>
    <n v="1"/>
    <n v="5"/>
  </r>
  <r>
    <n v="35"/>
    <x v="1"/>
    <s v="Travel_Rarely"/>
    <n v="670"/>
    <x v="1"/>
    <n v="10"/>
    <n v="4"/>
    <s v="Medical"/>
    <n v="1"/>
    <n v="1587"/>
    <x v="3"/>
    <s v="Female"/>
    <n v="51"/>
    <n v="3"/>
    <n v="2"/>
    <x v="4"/>
    <x v="2"/>
    <s v="Single"/>
    <n v="6142"/>
    <n v="4223"/>
    <n v="3"/>
    <s v="Y"/>
    <x v="0"/>
    <n v="16"/>
    <n v="3"/>
    <n v="3"/>
    <n v="80"/>
    <n v="0"/>
    <n v="10"/>
    <n v="4"/>
    <x v="1"/>
    <x v="8"/>
    <n v="2"/>
    <n v="0"/>
    <n v="4"/>
  </r>
  <r>
    <n v="39"/>
    <x v="1"/>
    <s v="Travel_Rarely"/>
    <n v="1462"/>
    <x v="0"/>
    <n v="6"/>
    <n v="3"/>
    <s v="Medical"/>
    <n v="1"/>
    <n v="1588"/>
    <x v="2"/>
    <s v="Male"/>
    <n v="38"/>
    <n v="4"/>
    <n v="3"/>
    <x v="0"/>
    <x v="2"/>
    <s v="Married"/>
    <n v="8237"/>
    <n v="4658"/>
    <n v="2"/>
    <s v="Y"/>
    <x v="1"/>
    <n v="11"/>
    <n v="3"/>
    <n v="1"/>
    <n v="80"/>
    <n v="1"/>
    <n v="11"/>
    <n v="3"/>
    <x v="1"/>
    <x v="5"/>
    <n v="6"/>
    <n v="7"/>
    <n v="6"/>
  </r>
  <r>
    <n v="29"/>
    <x v="1"/>
    <s v="Travel_Frequently"/>
    <n v="995"/>
    <x v="1"/>
    <n v="2"/>
    <n v="1"/>
    <s v="Life Sciences"/>
    <n v="1"/>
    <n v="1590"/>
    <x v="3"/>
    <s v="Male"/>
    <n v="87"/>
    <n v="3"/>
    <n v="2"/>
    <x v="4"/>
    <x v="0"/>
    <s v="Divorced"/>
    <n v="8853"/>
    <n v="24483"/>
    <n v="1"/>
    <s v="Y"/>
    <x v="1"/>
    <n v="19"/>
    <n v="3"/>
    <n v="4"/>
    <n v="80"/>
    <n v="1"/>
    <n v="6"/>
    <n v="0"/>
    <x v="3"/>
    <x v="0"/>
    <n v="4"/>
    <n v="1"/>
    <n v="3"/>
  </r>
  <r>
    <n v="50"/>
    <x v="1"/>
    <s v="Travel_Rarely"/>
    <n v="264"/>
    <x v="0"/>
    <n v="9"/>
    <n v="3"/>
    <s v="Marketing"/>
    <n v="1"/>
    <n v="1591"/>
    <x v="1"/>
    <s v="Male"/>
    <n v="59"/>
    <n v="3"/>
    <n v="5"/>
    <x v="5"/>
    <x v="2"/>
    <s v="Married"/>
    <n v="19331"/>
    <n v="19519"/>
    <n v="4"/>
    <s v="Y"/>
    <x v="0"/>
    <n v="16"/>
    <n v="3"/>
    <n v="3"/>
    <n v="80"/>
    <n v="1"/>
    <n v="27"/>
    <n v="2"/>
    <x v="1"/>
    <x v="6"/>
    <n v="0"/>
    <n v="0"/>
    <n v="0"/>
  </r>
  <r>
    <n v="23"/>
    <x v="1"/>
    <s v="Travel_Rarely"/>
    <n v="977"/>
    <x v="1"/>
    <n v="10"/>
    <n v="3"/>
    <s v="Technical Degree"/>
    <n v="1"/>
    <n v="1592"/>
    <x v="2"/>
    <s v="Male"/>
    <n v="45"/>
    <n v="4"/>
    <n v="1"/>
    <x v="1"/>
    <x v="2"/>
    <s v="Married"/>
    <n v="2073"/>
    <n v="12826"/>
    <n v="2"/>
    <s v="Y"/>
    <x v="1"/>
    <n v="16"/>
    <n v="3"/>
    <n v="4"/>
    <n v="80"/>
    <n v="1"/>
    <n v="4"/>
    <n v="2"/>
    <x v="1"/>
    <x v="4"/>
    <n v="2"/>
    <n v="2"/>
    <n v="2"/>
  </r>
  <r>
    <n v="36"/>
    <x v="1"/>
    <s v="Travel_Frequently"/>
    <n v="1302"/>
    <x v="1"/>
    <n v="6"/>
    <n v="4"/>
    <s v="Life Sciences"/>
    <n v="1"/>
    <n v="1594"/>
    <x v="3"/>
    <s v="Male"/>
    <n v="80"/>
    <n v="4"/>
    <n v="2"/>
    <x v="2"/>
    <x v="3"/>
    <s v="Married"/>
    <n v="5562"/>
    <n v="19711"/>
    <n v="3"/>
    <s v="Y"/>
    <x v="0"/>
    <n v="13"/>
    <n v="3"/>
    <n v="4"/>
    <n v="80"/>
    <n v="1"/>
    <n v="9"/>
    <n v="3"/>
    <x v="1"/>
    <x v="11"/>
    <n v="2"/>
    <n v="0"/>
    <n v="2"/>
  </r>
  <r>
    <n v="42"/>
    <x v="1"/>
    <s v="Travel_Rarely"/>
    <n v="1059"/>
    <x v="1"/>
    <n v="9"/>
    <n v="2"/>
    <s v="Other"/>
    <n v="1"/>
    <n v="1595"/>
    <x v="2"/>
    <s v="Male"/>
    <n v="93"/>
    <n v="2"/>
    <n v="5"/>
    <x v="5"/>
    <x v="0"/>
    <s v="Single"/>
    <n v="19613"/>
    <n v="26362"/>
    <n v="8"/>
    <s v="Y"/>
    <x v="1"/>
    <n v="22"/>
    <n v="4"/>
    <n v="4"/>
    <n v="80"/>
    <n v="0"/>
    <n v="24"/>
    <n v="2"/>
    <x v="1"/>
    <x v="6"/>
    <n v="0"/>
    <n v="0"/>
    <n v="1"/>
  </r>
  <r>
    <n v="35"/>
    <x v="1"/>
    <s v="Travel_Rarely"/>
    <n v="750"/>
    <x v="1"/>
    <n v="28"/>
    <n v="3"/>
    <s v="Life Sciences"/>
    <n v="1"/>
    <n v="1596"/>
    <x v="0"/>
    <s v="Male"/>
    <n v="46"/>
    <n v="4"/>
    <n v="2"/>
    <x v="2"/>
    <x v="2"/>
    <s v="Married"/>
    <n v="3407"/>
    <n v="25348"/>
    <n v="1"/>
    <s v="Y"/>
    <x v="1"/>
    <n v="17"/>
    <n v="3"/>
    <n v="4"/>
    <n v="80"/>
    <n v="2"/>
    <n v="10"/>
    <n v="3"/>
    <x v="2"/>
    <x v="1"/>
    <n v="9"/>
    <n v="6"/>
    <n v="8"/>
  </r>
  <r>
    <n v="34"/>
    <x v="1"/>
    <s v="Travel_Frequently"/>
    <n v="653"/>
    <x v="1"/>
    <n v="10"/>
    <n v="4"/>
    <s v="Technical Degree"/>
    <n v="1"/>
    <n v="1597"/>
    <x v="2"/>
    <s v="Male"/>
    <n v="92"/>
    <n v="2"/>
    <n v="2"/>
    <x v="4"/>
    <x v="2"/>
    <s v="Married"/>
    <n v="5063"/>
    <n v="15332"/>
    <n v="1"/>
    <s v="Y"/>
    <x v="1"/>
    <n v="14"/>
    <n v="3"/>
    <n v="2"/>
    <n v="80"/>
    <n v="1"/>
    <n v="8"/>
    <n v="3"/>
    <x v="2"/>
    <x v="3"/>
    <n v="2"/>
    <n v="7"/>
    <n v="7"/>
  </r>
  <r>
    <n v="40"/>
    <x v="1"/>
    <s v="Travel_Rarely"/>
    <n v="118"/>
    <x v="0"/>
    <n v="14"/>
    <n v="2"/>
    <s v="Life Sciences"/>
    <n v="1"/>
    <n v="1598"/>
    <x v="2"/>
    <s v="Female"/>
    <n v="84"/>
    <n v="3"/>
    <n v="2"/>
    <x v="0"/>
    <x v="3"/>
    <s v="Married"/>
    <n v="4639"/>
    <n v="11262"/>
    <n v="1"/>
    <s v="Y"/>
    <x v="1"/>
    <n v="15"/>
    <n v="3"/>
    <n v="3"/>
    <n v="80"/>
    <n v="1"/>
    <n v="5"/>
    <n v="2"/>
    <x v="1"/>
    <x v="8"/>
    <n v="4"/>
    <n v="1"/>
    <n v="2"/>
  </r>
  <r>
    <n v="43"/>
    <x v="1"/>
    <s v="Travel_Rarely"/>
    <n v="990"/>
    <x v="1"/>
    <n v="27"/>
    <n v="3"/>
    <s v="Technical Degree"/>
    <n v="1"/>
    <n v="1599"/>
    <x v="2"/>
    <s v="Male"/>
    <n v="87"/>
    <n v="4"/>
    <n v="1"/>
    <x v="2"/>
    <x v="1"/>
    <s v="Divorced"/>
    <n v="4876"/>
    <n v="5855"/>
    <n v="5"/>
    <s v="Y"/>
    <x v="1"/>
    <n v="12"/>
    <n v="3"/>
    <n v="3"/>
    <n v="80"/>
    <n v="1"/>
    <n v="8"/>
    <n v="0"/>
    <x v="1"/>
    <x v="0"/>
    <n v="4"/>
    <n v="0"/>
    <n v="2"/>
  </r>
  <r>
    <n v="35"/>
    <x v="1"/>
    <s v="Travel_Rarely"/>
    <n v="1349"/>
    <x v="1"/>
    <n v="7"/>
    <n v="2"/>
    <s v="Life Sciences"/>
    <n v="1"/>
    <n v="1601"/>
    <x v="1"/>
    <s v="Male"/>
    <n v="63"/>
    <n v="2"/>
    <n v="1"/>
    <x v="2"/>
    <x v="0"/>
    <s v="Married"/>
    <n v="2690"/>
    <n v="7713"/>
    <n v="1"/>
    <s v="Y"/>
    <x v="1"/>
    <n v="18"/>
    <n v="3"/>
    <n v="4"/>
    <n v="80"/>
    <n v="1"/>
    <n v="1"/>
    <n v="5"/>
    <x v="2"/>
    <x v="6"/>
    <n v="0"/>
    <n v="0"/>
    <n v="1"/>
  </r>
  <r>
    <n v="46"/>
    <x v="1"/>
    <s v="Travel_Rarely"/>
    <n v="563"/>
    <x v="0"/>
    <n v="1"/>
    <n v="4"/>
    <s v="Life Sciences"/>
    <n v="1"/>
    <n v="1602"/>
    <x v="2"/>
    <s v="Male"/>
    <n v="56"/>
    <n v="4"/>
    <n v="4"/>
    <x v="5"/>
    <x v="3"/>
    <s v="Single"/>
    <n v="17567"/>
    <n v="3156"/>
    <n v="1"/>
    <s v="Y"/>
    <x v="1"/>
    <n v="15"/>
    <n v="3"/>
    <n v="2"/>
    <n v="80"/>
    <n v="0"/>
    <n v="27"/>
    <n v="5"/>
    <x v="0"/>
    <x v="34"/>
    <n v="0"/>
    <n v="0"/>
    <n v="12"/>
  </r>
  <r>
    <n v="28"/>
    <x v="0"/>
    <s v="Travel_Rarely"/>
    <n v="329"/>
    <x v="1"/>
    <n v="24"/>
    <n v="3"/>
    <s v="Medical"/>
    <n v="1"/>
    <n v="1604"/>
    <x v="1"/>
    <s v="Male"/>
    <n v="51"/>
    <n v="3"/>
    <n v="1"/>
    <x v="2"/>
    <x v="1"/>
    <s v="Married"/>
    <n v="2408"/>
    <n v="7324"/>
    <n v="1"/>
    <s v="Y"/>
    <x v="0"/>
    <n v="17"/>
    <n v="3"/>
    <n v="3"/>
    <n v="80"/>
    <n v="3"/>
    <n v="1"/>
    <n v="3"/>
    <x v="1"/>
    <x v="6"/>
    <n v="1"/>
    <n v="0"/>
    <n v="0"/>
  </r>
  <r>
    <n v="22"/>
    <x v="1"/>
    <s v="Non-Travel"/>
    <n v="457"/>
    <x v="1"/>
    <n v="26"/>
    <n v="2"/>
    <s v="Other"/>
    <n v="1"/>
    <n v="1605"/>
    <x v="0"/>
    <s v="Female"/>
    <n v="85"/>
    <n v="2"/>
    <n v="1"/>
    <x v="1"/>
    <x v="2"/>
    <s v="Married"/>
    <n v="2814"/>
    <n v="10293"/>
    <n v="1"/>
    <s v="Y"/>
    <x v="0"/>
    <n v="14"/>
    <n v="3"/>
    <n v="2"/>
    <n v="80"/>
    <n v="0"/>
    <n v="4"/>
    <n v="2"/>
    <x v="2"/>
    <x v="9"/>
    <n v="2"/>
    <n v="1"/>
    <n v="3"/>
  </r>
  <r>
    <n v="50"/>
    <x v="1"/>
    <s v="Travel_Frequently"/>
    <n v="1234"/>
    <x v="1"/>
    <n v="20"/>
    <n v="5"/>
    <s v="Medical"/>
    <n v="1"/>
    <n v="1606"/>
    <x v="0"/>
    <s v="Male"/>
    <n v="41"/>
    <n v="3"/>
    <n v="4"/>
    <x v="4"/>
    <x v="2"/>
    <s v="Married"/>
    <n v="11245"/>
    <n v="20689"/>
    <n v="2"/>
    <s v="Y"/>
    <x v="0"/>
    <n v="15"/>
    <n v="3"/>
    <n v="3"/>
    <n v="80"/>
    <n v="1"/>
    <n v="32"/>
    <n v="3"/>
    <x v="1"/>
    <x v="35"/>
    <n v="8"/>
    <n v="12"/>
    <n v="13"/>
  </r>
  <r>
    <n v="32"/>
    <x v="1"/>
    <s v="Travel_Rarely"/>
    <n v="634"/>
    <x v="1"/>
    <n v="5"/>
    <n v="4"/>
    <s v="Other"/>
    <n v="1"/>
    <n v="1607"/>
    <x v="0"/>
    <s v="Female"/>
    <n v="35"/>
    <n v="4"/>
    <n v="1"/>
    <x v="1"/>
    <x v="0"/>
    <s v="Married"/>
    <n v="3312"/>
    <n v="18783"/>
    <n v="3"/>
    <s v="Y"/>
    <x v="1"/>
    <n v="17"/>
    <n v="3"/>
    <n v="4"/>
    <n v="80"/>
    <n v="2"/>
    <n v="6"/>
    <n v="3"/>
    <x v="1"/>
    <x v="11"/>
    <n v="2"/>
    <n v="0"/>
    <n v="2"/>
  </r>
  <r>
    <n v="44"/>
    <x v="1"/>
    <s v="Travel_Rarely"/>
    <n v="1313"/>
    <x v="1"/>
    <n v="7"/>
    <n v="3"/>
    <s v="Medical"/>
    <n v="1"/>
    <n v="1608"/>
    <x v="0"/>
    <s v="Female"/>
    <n v="31"/>
    <n v="3"/>
    <n v="5"/>
    <x v="7"/>
    <x v="0"/>
    <s v="Divorced"/>
    <n v="19049"/>
    <n v="3549"/>
    <n v="0"/>
    <s v="Y"/>
    <x v="0"/>
    <n v="14"/>
    <n v="3"/>
    <n v="4"/>
    <n v="80"/>
    <n v="1"/>
    <n v="23"/>
    <n v="4"/>
    <x v="2"/>
    <x v="14"/>
    <n v="7"/>
    <n v="1"/>
    <n v="10"/>
  </r>
  <r>
    <n v="30"/>
    <x v="1"/>
    <s v="Travel_Rarely"/>
    <n v="241"/>
    <x v="1"/>
    <n v="7"/>
    <n v="3"/>
    <s v="Medical"/>
    <n v="1"/>
    <n v="1609"/>
    <x v="0"/>
    <s v="Male"/>
    <n v="48"/>
    <n v="2"/>
    <n v="1"/>
    <x v="1"/>
    <x v="1"/>
    <s v="Married"/>
    <n v="2141"/>
    <n v="5348"/>
    <n v="1"/>
    <s v="Y"/>
    <x v="1"/>
    <n v="12"/>
    <n v="3"/>
    <n v="2"/>
    <n v="80"/>
    <n v="1"/>
    <n v="6"/>
    <n v="3"/>
    <x v="2"/>
    <x v="0"/>
    <n v="4"/>
    <n v="1"/>
    <n v="1"/>
  </r>
  <r>
    <n v="45"/>
    <x v="1"/>
    <s v="Travel_Rarely"/>
    <n v="1015"/>
    <x v="1"/>
    <n v="5"/>
    <n v="5"/>
    <s v="Medical"/>
    <n v="1"/>
    <n v="1611"/>
    <x v="1"/>
    <s v="Female"/>
    <n v="50"/>
    <n v="1"/>
    <n v="2"/>
    <x v="2"/>
    <x v="3"/>
    <s v="Single"/>
    <n v="5769"/>
    <n v="23447"/>
    <n v="1"/>
    <s v="Y"/>
    <x v="0"/>
    <n v="14"/>
    <n v="3"/>
    <n v="1"/>
    <n v="80"/>
    <n v="0"/>
    <n v="10"/>
    <n v="3"/>
    <x v="1"/>
    <x v="1"/>
    <n v="7"/>
    <n v="1"/>
    <n v="4"/>
  </r>
  <r>
    <n v="45"/>
    <x v="1"/>
    <s v="Non-Travel"/>
    <n v="336"/>
    <x v="0"/>
    <n v="26"/>
    <n v="3"/>
    <s v="Marketing"/>
    <n v="1"/>
    <n v="1612"/>
    <x v="3"/>
    <s v="Male"/>
    <n v="52"/>
    <n v="2"/>
    <n v="2"/>
    <x v="0"/>
    <x v="3"/>
    <s v="Married"/>
    <n v="4385"/>
    <n v="24162"/>
    <n v="1"/>
    <s v="Y"/>
    <x v="1"/>
    <n v="15"/>
    <n v="3"/>
    <n v="1"/>
    <n v="80"/>
    <n v="1"/>
    <n v="10"/>
    <n v="2"/>
    <x v="1"/>
    <x v="1"/>
    <n v="7"/>
    <n v="4"/>
    <n v="5"/>
  </r>
  <r>
    <n v="31"/>
    <x v="1"/>
    <s v="Travel_Frequently"/>
    <n v="715"/>
    <x v="0"/>
    <n v="2"/>
    <n v="4"/>
    <s v="Other"/>
    <n v="1"/>
    <n v="1613"/>
    <x v="2"/>
    <s v="Male"/>
    <n v="54"/>
    <n v="3"/>
    <n v="2"/>
    <x v="0"/>
    <x v="3"/>
    <s v="Single"/>
    <n v="5332"/>
    <n v="21602"/>
    <n v="7"/>
    <s v="Y"/>
    <x v="1"/>
    <n v="13"/>
    <n v="3"/>
    <n v="4"/>
    <n v="80"/>
    <n v="0"/>
    <n v="10"/>
    <n v="3"/>
    <x v="1"/>
    <x v="8"/>
    <n v="2"/>
    <n v="0"/>
    <n v="3"/>
  </r>
  <r>
    <n v="36"/>
    <x v="1"/>
    <s v="Travel_Rarely"/>
    <n v="559"/>
    <x v="1"/>
    <n v="12"/>
    <n v="4"/>
    <s v="Life Sciences"/>
    <n v="1"/>
    <n v="1614"/>
    <x v="1"/>
    <s v="Female"/>
    <n v="76"/>
    <n v="3"/>
    <n v="2"/>
    <x v="3"/>
    <x v="2"/>
    <s v="Married"/>
    <n v="4663"/>
    <n v="12421"/>
    <n v="9"/>
    <s v="Y"/>
    <x v="0"/>
    <n v="12"/>
    <n v="3"/>
    <n v="2"/>
    <n v="80"/>
    <n v="2"/>
    <n v="7"/>
    <n v="2"/>
    <x v="1"/>
    <x v="11"/>
    <n v="2"/>
    <n v="1"/>
    <n v="1"/>
  </r>
  <r>
    <n v="34"/>
    <x v="1"/>
    <s v="Travel_Frequently"/>
    <n v="426"/>
    <x v="1"/>
    <n v="10"/>
    <n v="4"/>
    <s v="Life Sciences"/>
    <n v="1"/>
    <n v="1615"/>
    <x v="1"/>
    <s v="Male"/>
    <n v="42"/>
    <n v="4"/>
    <n v="2"/>
    <x v="3"/>
    <x v="0"/>
    <s v="Divorced"/>
    <n v="4724"/>
    <n v="17000"/>
    <n v="1"/>
    <s v="Y"/>
    <x v="1"/>
    <n v="13"/>
    <n v="3"/>
    <n v="1"/>
    <n v="80"/>
    <n v="1"/>
    <n v="9"/>
    <n v="3"/>
    <x v="1"/>
    <x v="7"/>
    <n v="7"/>
    <n v="7"/>
    <n v="2"/>
  </r>
  <r>
    <n v="49"/>
    <x v="1"/>
    <s v="Travel_Rarely"/>
    <n v="722"/>
    <x v="1"/>
    <n v="25"/>
    <n v="4"/>
    <s v="Life Sciences"/>
    <n v="1"/>
    <n v="1617"/>
    <x v="1"/>
    <s v="Female"/>
    <n v="84"/>
    <n v="3"/>
    <n v="1"/>
    <x v="2"/>
    <x v="3"/>
    <s v="Married"/>
    <n v="3211"/>
    <n v="22102"/>
    <n v="1"/>
    <s v="Y"/>
    <x v="1"/>
    <n v="14"/>
    <n v="3"/>
    <n v="4"/>
    <n v="80"/>
    <n v="1"/>
    <n v="10"/>
    <n v="3"/>
    <x v="2"/>
    <x v="7"/>
    <n v="6"/>
    <n v="1"/>
    <n v="4"/>
  </r>
  <r>
    <n v="39"/>
    <x v="1"/>
    <s v="Travel_Rarely"/>
    <n v="1387"/>
    <x v="1"/>
    <n v="10"/>
    <n v="5"/>
    <s v="Medical"/>
    <n v="1"/>
    <n v="1618"/>
    <x v="0"/>
    <s v="Male"/>
    <n v="76"/>
    <n v="3"/>
    <n v="2"/>
    <x v="3"/>
    <x v="3"/>
    <s v="Married"/>
    <n v="5377"/>
    <n v="3835"/>
    <n v="2"/>
    <s v="Y"/>
    <x v="1"/>
    <n v="13"/>
    <n v="3"/>
    <n v="4"/>
    <n v="80"/>
    <n v="3"/>
    <n v="10"/>
    <n v="3"/>
    <x v="1"/>
    <x v="5"/>
    <n v="7"/>
    <n v="7"/>
    <n v="7"/>
  </r>
  <r>
    <n v="27"/>
    <x v="1"/>
    <s v="Travel_Rarely"/>
    <n v="1302"/>
    <x v="1"/>
    <n v="19"/>
    <n v="3"/>
    <s v="Other"/>
    <n v="1"/>
    <n v="1619"/>
    <x v="2"/>
    <s v="Male"/>
    <n v="67"/>
    <n v="2"/>
    <n v="1"/>
    <x v="2"/>
    <x v="3"/>
    <s v="Divorced"/>
    <n v="4066"/>
    <n v="16290"/>
    <n v="1"/>
    <s v="Y"/>
    <x v="1"/>
    <n v="11"/>
    <n v="3"/>
    <n v="1"/>
    <n v="80"/>
    <n v="2"/>
    <n v="7"/>
    <n v="3"/>
    <x v="1"/>
    <x v="5"/>
    <n v="7"/>
    <n v="0"/>
    <n v="7"/>
  </r>
  <r>
    <n v="35"/>
    <x v="1"/>
    <s v="Travel_Rarely"/>
    <n v="819"/>
    <x v="1"/>
    <n v="18"/>
    <n v="5"/>
    <s v="Life Sciences"/>
    <n v="1"/>
    <n v="1621"/>
    <x v="0"/>
    <s v="Male"/>
    <n v="48"/>
    <n v="4"/>
    <n v="2"/>
    <x v="1"/>
    <x v="3"/>
    <s v="Married"/>
    <n v="5208"/>
    <n v="26312"/>
    <n v="1"/>
    <s v="Y"/>
    <x v="1"/>
    <n v="11"/>
    <n v="3"/>
    <n v="4"/>
    <n v="80"/>
    <n v="0"/>
    <n v="16"/>
    <n v="2"/>
    <x v="1"/>
    <x v="22"/>
    <n v="15"/>
    <n v="1"/>
    <n v="10"/>
  </r>
  <r>
    <n v="28"/>
    <x v="1"/>
    <s v="Travel_Rarely"/>
    <n v="580"/>
    <x v="1"/>
    <n v="27"/>
    <n v="3"/>
    <s v="Medical"/>
    <n v="1"/>
    <n v="1622"/>
    <x v="0"/>
    <s v="Female"/>
    <n v="39"/>
    <n v="1"/>
    <n v="2"/>
    <x v="3"/>
    <x v="3"/>
    <s v="Divorced"/>
    <n v="4877"/>
    <n v="20460"/>
    <n v="0"/>
    <s v="Y"/>
    <x v="1"/>
    <n v="21"/>
    <n v="4"/>
    <n v="2"/>
    <n v="80"/>
    <n v="1"/>
    <n v="6"/>
    <n v="5"/>
    <x v="2"/>
    <x v="8"/>
    <n v="3"/>
    <n v="0"/>
    <n v="0"/>
  </r>
  <r>
    <n v="21"/>
    <x v="1"/>
    <s v="Travel_Rarely"/>
    <n v="546"/>
    <x v="1"/>
    <n v="5"/>
    <n v="1"/>
    <s v="Medical"/>
    <n v="1"/>
    <n v="1623"/>
    <x v="1"/>
    <s v="Male"/>
    <n v="97"/>
    <n v="3"/>
    <n v="1"/>
    <x v="1"/>
    <x v="0"/>
    <s v="Single"/>
    <n v="3117"/>
    <n v="26009"/>
    <n v="1"/>
    <s v="Y"/>
    <x v="1"/>
    <n v="18"/>
    <n v="3"/>
    <n v="3"/>
    <n v="80"/>
    <n v="0"/>
    <n v="3"/>
    <n v="2"/>
    <x v="1"/>
    <x v="4"/>
    <n v="2"/>
    <n v="2"/>
    <n v="2"/>
  </r>
  <r>
    <n v="18"/>
    <x v="0"/>
    <s v="Travel_Frequently"/>
    <n v="544"/>
    <x v="0"/>
    <n v="3"/>
    <n v="2"/>
    <s v="Medical"/>
    <n v="1"/>
    <n v="1624"/>
    <x v="0"/>
    <s v="Female"/>
    <n v="70"/>
    <n v="3"/>
    <n v="1"/>
    <x v="6"/>
    <x v="0"/>
    <s v="Single"/>
    <n v="1569"/>
    <n v="18420"/>
    <n v="1"/>
    <s v="Y"/>
    <x v="0"/>
    <n v="12"/>
    <n v="3"/>
    <n v="3"/>
    <n v="80"/>
    <n v="0"/>
    <n v="0"/>
    <n v="2"/>
    <x v="3"/>
    <x v="2"/>
    <n v="0"/>
    <n v="0"/>
    <n v="0"/>
  </r>
  <r>
    <n v="47"/>
    <x v="1"/>
    <s v="Travel_Rarely"/>
    <n v="1176"/>
    <x v="2"/>
    <n v="26"/>
    <n v="4"/>
    <s v="Life Sciences"/>
    <n v="1"/>
    <n v="1625"/>
    <x v="2"/>
    <s v="Female"/>
    <n v="98"/>
    <n v="3"/>
    <n v="5"/>
    <x v="5"/>
    <x v="2"/>
    <s v="Married"/>
    <n v="19658"/>
    <n v="5220"/>
    <n v="3"/>
    <s v="Y"/>
    <x v="1"/>
    <n v="11"/>
    <n v="3"/>
    <n v="3"/>
    <n v="80"/>
    <n v="1"/>
    <n v="27"/>
    <n v="2"/>
    <x v="1"/>
    <x v="8"/>
    <n v="2"/>
    <n v="1"/>
    <n v="0"/>
  </r>
  <r>
    <n v="39"/>
    <x v="1"/>
    <s v="Travel_Rarely"/>
    <n v="170"/>
    <x v="1"/>
    <n v="3"/>
    <n v="2"/>
    <s v="Medical"/>
    <n v="1"/>
    <n v="1627"/>
    <x v="1"/>
    <s v="Male"/>
    <n v="76"/>
    <n v="2"/>
    <n v="2"/>
    <x v="2"/>
    <x v="2"/>
    <s v="Divorced"/>
    <n v="3069"/>
    <n v="10302"/>
    <n v="0"/>
    <s v="Y"/>
    <x v="1"/>
    <n v="15"/>
    <n v="3"/>
    <n v="4"/>
    <n v="80"/>
    <n v="1"/>
    <n v="11"/>
    <n v="3"/>
    <x v="1"/>
    <x v="1"/>
    <n v="8"/>
    <n v="0"/>
    <n v="7"/>
  </r>
  <r>
    <n v="40"/>
    <x v="1"/>
    <s v="Travel_Rarely"/>
    <n v="884"/>
    <x v="1"/>
    <n v="15"/>
    <n v="3"/>
    <s v="Life Sciences"/>
    <n v="1"/>
    <n v="1628"/>
    <x v="3"/>
    <s v="Female"/>
    <n v="80"/>
    <n v="2"/>
    <n v="3"/>
    <x v="3"/>
    <x v="2"/>
    <s v="Married"/>
    <n v="10435"/>
    <n v="25800"/>
    <n v="1"/>
    <s v="Y"/>
    <x v="1"/>
    <n v="13"/>
    <n v="3"/>
    <n v="4"/>
    <n v="80"/>
    <n v="2"/>
    <n v="18"/>
    <n v="2"/>
    <x v="1"/>
    <x v="29"/>
    <n v="15"/>
    <n v="14"/>
    <n v="12"/>
  </r>
  <r>
    <n v="35"/>
    <x v="1"/>
    <s v="Non-Travel"/>
    <n v="208"/>
    <x v="1"/>
    <n v="8"/>
    <n v="4"/>
    <s v="Life Sciences"/>
    <n v="1"/>
    <n v="1630"/>
    <x v="1"/>
    <s v="Female"/>
    <n v="52"/>
    <n v="3"/>
    <n v="2"/>
    <x v="4"/>
    <x v="2"/>
    <s v="Married"/>
    <n v="4148"/>
    <n v="12250"/>
    <n v="1"/>
    <s v="Y"/>
    <x v="1"/>
    <n v="12"/>
    <n v="3"/>
    <n v="4"/>
    <n v="80"/>
    <n v="1"/>
    <n v="15"/>
    <n v="5"/>
    <x v="1"/>
    <x v="13"/>
    <n v="11"/>
    <n v="2"/>
    <n v="9"/>
  </r>
  <r>
    <n v="37"/>
    <x v="1"/>
    <s v="Travel_Rarely"/>
    <n v="671"/>
    <x v="1"/>
    <n v="19"/>
    <n v="3"/>
    <s v="Life Sciences"/>
    <n v="1"/>
    <n v="1631"/>
    <x v="1"/>
    <s v="Male"/>
    <n v="85"/>
    <n v="3"/>
    <n v="2"/>
    <x v="3"/>
    <x v="2"/>
    <s v="Married"/>
    <n v="5768"/>
    <n v="26493"/>
    <n v="3"/>
    <s v="Y"/>
    <x v="1"/>
    <n v="17"/>
    <n v="3"/>
    <n v="1"/>
    <n v="80"/>
    <n v="3"/>
    <n v="9"/>
    <n v="2"/>
    <x v="2"/>
    <x v="9"/>
    <n v="3"/>
    <n v="0"/>
    <n v="2"/>
  </r>
  <r>
    <n v="39"/>
    <x v="1"/>
    <s v="Travel_Frequently"/>
    <n v="711"/>
    <x v="1"/>
    <n v="4"/>
    <n v="3"/>
    <s v="Medical"/>
    <n v="1"/>
    <n v="1633"/>
    <x v="3"/>
    <s v="Female"/>
    <n v="81"/>
    <n v="3"/>
    <n v="2"/>
    <x v="3"/>
    <x v="2"/>
    <s v="Single"/>
    <n v="5042"/>
    <n v="3140"/>
    <n v="0"/>
    <s v="Y"/>
    <x v="1"/>
    <n v="13"/>
    <n v="3"/>
    <n v="4"/>
    <n v="80"/>
    <n v="0"/>
    <n v="10"/>
    <n v="2"/>
    <x v="0"/>
    <x v="7"/>
    <n v="2"/>
    <n v="3"/>
    <n v="8"/>
  </r>
  <r>
    <n v="45"/>
    <x v="1"/>
    <s v="Travel_Rarely"/>
    <n v="1329"/>
    <x v="1"/>
    <n v="2"/>
    <n v="2"/>
    <s v="Other"/>
    <n v="1"/>
    <n v="1635"/>
    <x v="2"/>
    <s v="Female"/>
    <n v="59"/>
    <n v="2"/>
    <n v="2"/>
    <x v="3"/>
    <x v="0"/>
    <s v="Divorced"/>
    <n v="5770"/>
    <n v="5388"/>
    <n v="1"/>
    <s v="Y"/>
    <x v="1"/>
    <n v="19"/>
    <n v="3"/>
    <n v="1"/>
    <n v="80"/>
    <n v="2"/>
    <n v="10"/>
    <n v="3"/>
    <x v="1"/>
    <x v="1"/>
    <n v="7"/>
    <n v="3"/>
    <n v="9"/>
  </r>
  <r>
    <n v="38"/>
    <x v="1"/>
    <s v="Travel_Rarely"/>
    <n v="397"/>
    <x v="1"/>
    <n v="2"/>
    <n v="2"/>
    <s v="Medical"/>
    <n v="1"/>
    <n v="1638"/>
    <x v="2"/>
    <s v="Female"/>
    <n v="54"/>
    <n v="2"/>
    <n v="3"/>
    <x v="3"/>
    <x v="2"/>
    <s v="Married"/>
    <n v="7756"/>
    <n v="14199"/>
    <n v="3"/>
    <s v="Y"/>
    <x v="0"/>
    <n v="19"/>
    <n v="3"/>
    <n v="4"/>
    <n v="80"/>
    <n v="1"/>
    <n v="10"/>
    <n v="6"/>
    <x v="3"/>
    <x v="8"/>
    <n v="4"/>
    <n v="0"/>
    <n v="2"/>
  </r>
  <r>
    <n v="35"/>
    <x v="0"/>
    <s v="Travel_Rarely"/>
    <n v="737"/>
    <x v="0"/>
    <n v="10"/>
    <n v="3"/>
    <s v="Medical"/>
    <n v="1"/>
    <n v="1639"/>
    <x v="2"/>
    <s v="Male"/>
    <n v="55"/>
    <n v="2"/>
    <n v="3"/>
    <x v="0"/>
    <x v="3"/>
    <s v="Married"/>
    <n v="10306"/>
    <n v="21530"/>
    <n v="9"/>
    <s v="Y"/>
    <x v="1"/>
    <n v="17"/>
    <n v="3"/>
    <n v="3"/>
    <n v="80"/>
    <n v="0"/>
    <n v="15"/>
    <n v="3"/>
    <x v="1"/>
    <x v="20"/>
    <n v="12"/>
    <n v="6"/>
    <n v="0"/>
  </r>
  <r>
    <n v="37"/>
    <x v="1"/>
    <s v="Travel_Rarely"/>
    <n v="1470"/>
    <x v="1"/>
    <n v="10"/>
    <n v="3"/>
    <s v="Medical"/>
    <n v="1"/>
    <n v="1640"/>
    <x v="0"/>
    <s v="Female"/>
    <n v="71"/>
    <n v="3"/>
    <n v="1"/>
    <x v="1"/>
    <x v="1"/>
    <s v="Married"/>
    <n v="3936"/>
    <n v="9953"/>
    <n v="1"/>
    <s v="Y"/>
    <x v="1"/>
    <n v="11"/>
    <n v="3"/>
    <n v="1"/>
    <n v="80"/>
    <n v="1"/>
    <n v="8"/>
    <n v="2"/>
    <x v="0"/>
    <x v="3"/>
    <n v="4"/>
    <n v="7"/>
    <n v="7"/>
  </r>
  <r>
    <n v="40"/>
    <x v="1"/>
    <s v="Travel_Rarely"/>
    <n v="448"/>
    <x v="1"/>
    <n v="16"/>
    <n v="3"/>
    <s v="Life Sciences"/>
    <n v="1"/>
    <n v="1641"/>
    <x v="1"/>
    <s v="Female"/>
    <n v="84"/>
    <n v="3"/>
    <n v="3"/>
    <x v="3"/>
    <x v="0"/>
    <s v="Single"/>
    <n v="7945"/>
    <n v="19948"/>
    <n v="6"/>
    <s v="Y"/>
    <x v="0"/>
    <n v="15"/>
    <n v="3"/>
    <n v="4"/>
    <n v="80"/>
    <n v="0"/>
    <n v="18"/>
    <n v="2"/>
    <x v="2"/>
    <x v="9"/>
    <n v="2"/>
    <n v="3"/>
    <n v="3"/>
  </r>
  <r>
    <n v="44"/>
    <x v="1"/>
    <s v="Travel_Frequently"/>
    <n v="602"/>
    <x v="2"/>
    <n v="1"/>
    <n v="5"/>
    <s v="Human Resources"/>
    <n v="1"/>
    <n v="1642"/>
    <x v="3"/>
    <s v="Male"/>
    <n v="37"/>
    <n v="3"/>
    <n v="2"/>
    <x v="8"/>
    <x v="0"/>
    <s v="Married"/>
    <n v="5743"/>
    <n v="10503"/>
    <n v="4"/>
    <s v="Y"/>
    <x v="0"/>
    <n v="11"/>
    <n v="3"/>
    <n v="3"/>
    <n v="80"/>
    <n v="0"/>
    <n v="14"/>
    <n v="3"/>
    <x v="1"/>
    <x v="1"/>
    <n v="7"/>
    <n v="0"/>
    <n v="2"/>
  </r>
  <r>
    <n v="48"/>
    <x v="1"/>
    <s v="Travel_Frequently"/>
    <n v="365"/>
    <x v="1"/>
    <n v="4"/>
    <n v="5"/>
    <s v="Medical"/>
    <n v="1"/>
    <n v="1644"/>
    <x v="1"/>
    <s v="Male"/>
    <n v="89"/>
    <n v="2"/>
    <n v="4"/>
    <x v="5"/>
    <x v="0"/>
    <s v="Married"/>
    <n v="15202"/>
    <n v="5602"/>
    <n v="2"/>
    <s v="Y"/>
    <x v="1"/>
    <n v="25"/>
    <n v="4"/>
    <n v="2"/>
    <n v="80"/>
    <n v="1"/>
    <n v="23"/>
    <n v="3"/>
    <x v="1"/>
    <x v="4"/>
    <n v="2"/>
    <n v="2"/>
    <n v="2"/>
  </r>
  <r>
    <n v="35"/>
    <x v="0"/>
    <s v="Travel_Rarely"/>
    <n v="763"/>
    <x v="0"/>
    <n v="15"/>
    <n v="2"/>
    <s v="Medical"/>
    <n v="1"/>
    <n v="1645"/>
    <x v="3"/>
    <s v="Male"/>
    <n v="59"/>
    <n v="1"/>
    <n v="2"/>
    <x v="0"/>
    <x v="0"/>
    <s v="Divorced"/>
    <n v="5440"/>
    <n v="22098"/>
    <n v="6"/>
    <s v="Y"/>
    <x v="0"/>
    <n v="14"/>
    <n v="3"/>
    <n v="4"/>
    <n v="80"/>
    <n v="2"/>
    <n v="7"/>
    <n v="2"/>
    <x v="2"/>
    <x v="4"/>
    <n v="2"/>
    <n v="2"/>
    <n v="2"/>
  </r>
  <r>
    <n v="24"/>
    <x v="1"/>
    <s v="Travel_Frequently"/>
    <n v="567"/>
    <x v="1"/>
    <n v="2"/>
    <n v="1"/>
    <s v="Technical Degree"/>
    <n v="1"/>
    <n v="1646"/>
    <x v="3"/>
    <s v="Female"/>
    <n v="32"/>
    <n v="3"/>
    <n v="1"/>
    <x v="1"/>
    <x v="0"/>
    <s v="Single"/>
    <n v="3760"/>
    <n v="17218"/>
    <n v="1"/>
    <s v="Y"/>
    <x v="0"/>
    <n v="13"/>
    <n v="3"/>
    <n v="3"/>
    <n v="80"/>
    <n v="0"/>
    <n v="6"/>
    <n v="2"/>
    <x v="1"/>
    <x v="0"/>
    <n v="3"/>
    <n v="1"/>
    <n v="3"/>
  </r>
  <r>
    <n v="27"/>
    <x v="1"/>
    <s v="Travel_Rarely"/>
    <n v="486"/>
    <x v="1"/>
    <n v="8"/>
    <n v="3"/>
    <s v="Medical"/>
    <n v="1"/>
    <n v="1647"/>
    <x v="0"/>
    <s v="Female"/>
    <n v="86"/>
    <n v="4"/>
    <n v="1"/>
    <x v="1"/>
    <x v="2"/>
    <s v="Married"/>
    <n v="3517"/>
    <n v="22490"/>
    <n v="7"/>
    <s v="Y"/>
    <x v="1"/>
    <n v="17"/>
    <n v="3"/>
    <n v="1"/>
    <n v="80"/>
    <n v="0"/>
    <n v="5"/>
    <n v="0"/>
    <x v="1"/>
    <x v="11"/>
    <n v="2"/>
    <n v="0"/>
    <n v="2"/>
  </r>
  <r>
    <n v="27"/>
    <x v="1"/>
    <s v="Travel_Frequently"/>
    <n v="591"/>
    <x v="1"/>
    <n v="2"/>
    <n v="3"/>
    <s v="Medical"/>
    <n v="1"/>
    <n v="1648"/>
    <x v="2"/>
    <s v="Male"/>
    <n v="87"/>
    <n v="3"/>
    <n v="1"/>
    <x v="1"/>
    <x v="0"/>
    <s v="Single"/>
    <n v="2580"/>
    <n v="6297"/>
    <n v="2"/>
    <s v="Y"/>
    <x v="1"/>
    <n v="13"/>
    <n v="3"/>
    <n v="3"/>
    <n v="80"/>
    <n v="0"/>
    <n v="6"/>
    <n v="0"/>
    <x v="2"/>
    <x v="9"/>
    <n v="2"/>
    <n v="1"/>
    <n v="2"/>
  </r>
  <r>
    <n v="40"/>
    <x v="0"/>
    <s v="Travel_Rarely"/>
    <n v="1329"/>
    <x v="1"/>
    <n v="7"/>
    <n v="3"/>
    <s v="Life Sciences"/>
    <n v="1"/>
    <n v="1649"/>
    <x v="3"/>
    <s v="Male"/>
    <n v="73"/>
    <n v="3"/>
    <n v="1"/>
    <x v="2"/>
    <x v="3"/>
    <s v="Single"/>
    <n v="2166"/>
    <n v="3339"/>
    <n v="3"/>
    <s v="Y"/>
    <x v="0"/>
    <n v="14"/>
    <n v="3"/>
    <n v="2"/>
    <n v="80"/>
    <n v="0"/>
    <n v="10"/>
    <n v="3"/>
    <x v="0"/>
    <x v="9"/>
    <n v="2"/>
    <n v="0"/>
    <n v="3"/>
  </r>
  <r>
    <n v="29"/>
    <x v="1"/>
    <s v="Travel_Rarely"/>
    <n v="469"/>
    <x v="0"/>
    <n v="10"/>
    <n v="3"/>
    <s v="Medical"/>
    <n v="1"/>
    <n v="1650"/>
    <x v="1"/>
    <s v="Male"/>
    <n v="42"/>
    <n v="2"/>
    <n v="2"/>
    <x v="0"/>
    <x v="2"/>
    <s v="Single"/>
    <n v="5869"/>
    <n v="23413"/>
    <n v="9"/>
    <s v="Y"/>
    <x v="1"/>
    <n v="11"/>
    <n v="3"/>
    <n v="3"/>
    <n v="80"/>
    <n v="0"/>
    <n v="8"/>
    <n v="2"/>
    <x v="1"/>
    <x v="8"/>
    <n v="2"/>
    <n v="1"/>
    <n v="4"/>
  </r>
  <r>
    <n v="36"/>
    <x v="1"/>
    <s v="Travel_Rarely"/>
    <n v="711"/>
    <x v="1"/>
    <n v="5"/>
    <n v="4"/>
    <s v="Life Sciences"/>
    <n v="1"/>
    <n v="1651"/>
    <x v="0"/>
    <s v="Female"/>
    <n v="42"/>
    <n v="3"/>
    <n v="3"/>
    <x v="4"/>
    <x v="3"/>
    <s v="Married"/>
    <n v="8008"/>
    <n v="22792"/>
    <n v="4"/>
    <s v="Y"/>
    <x v="1"/>
    <n v="12"/>
    <n v="3"/>
    <n v="3"/>
    <n v="80"/>
    <n v="2"/>
    <n v="9"/>
    <n v="6"/>
    <x v="1"/>
    <x v="11"/>
    <n v="2"/>
    <n v="0"/>
    <n v="2"/>
  </r>
  <r>
    <n v="25"/>
    <x v="1"/>
    <s v="Travel_Frequently"/>
    <n v="772"/>
    <x v="1"/>
    <n v="2"/>
    <n v="1"/>
    <s v="Life Sciences"/>
    <n v="1"/>
    <n v="1653"/>
    <x v="2"/>
    <s v="Male"/>
    <n v="77"/>
    <n v="4"/>
    <n v="2"/>
    <x v="3"/>
    <x v="2"/>
    <s v="Divorced"/>
    <n v="5206"/>
    <n v="4973"/>
    <n v="1"/>
    <s v="Y"/>
    <x v="1"/>
    <n v="17"/>
    <n v="3"/>
    <n v="3"/>
    <n v="80"/>
    <n v="2"/>
    <n v="7"/>
    <n v="6"/>
    <x v="1"/>
    <x v="5"/>
    <n v="7"/>
    <n v="0"/>
    <n v="7"/>
  </r>
  <r>
    <n v="39"/>
    <x v="1"/>
    <s v="Travel_Rarely"/>
    <n v="492"/>
    <x v="1"/>
    <n v="12"/>
    <n v="3"/>
    <s v="Medical"/>
    <n v="1"/>
    <n v="1654"/>
    <x v="2"/>
    <s v="Male"/>
    <n v="66"/>
    <n v="3"/>
    <n v="2"/>
    <x v="3"/>
    <x v="1"/>
    <s v="Married"/>
    <n v="5295"/>
    <n v="7693"/>
    <n v="4"/>
    <s v="Y"/>
    <x v="1"/>
    <n v="21"/>
    <n v="4"/>
    <n v="3"/>
    <n v="80"/>
    <n v="0"/>
    <n v="7"/>
    <n v="3"/>
    <x v="1"/>
    <x v="8"/>
    <n v="4"/>
    <n v="1"/>
    <n v="0"/>
  </r>
  <r>
    <n v="49"/>
    <x v="1"/>
    <s v="Travel_Rarely"/>
    <n v="301"/>
    <x v="1"/>
    <n v="22"/>
    <n v="4"/>
    <s v="Other"/>
    <n v="1"/>
    <n v="1655"/>
    <x v="3"/>
    <s v="Female"/>
    <n v="72"/>
    <n v="3"/>
    <n v="4"/>
    <x v="7"/>
    <x v="1"/>
    <s v="Married"/>
    <n v="16413"/>
    <n v="3498"/>
    <n v="3"/>
    <s v="Y"/>
    <x v="1"/>
    <n v="16"/>
    <n v="3"/>
    <n v="2"/>
    <n v="80"/>
    <n v="2"/>
    <n v="27"/>
    <n v="2"/>
    <x v="1"/>
    <x v="9"/>
    <n v="2"/>
    <n v="1"/>
    <n v="2"/>
  </r>
  <r>
    <n v="50"/>
    <x v="1"/>
    <s v="Travel_Rarely"/>
    <n v="813"/>
    <x v="1"/>
    <n v="17"/>
    <n v="5"/>
    <s v="Life Sciences"/>
    <n v="1"/>
    <n v="1656"/>
    <x v="2"/>
    <s v="Female"/>
    <n v="50"/>
    <n v="2"/>
    <n v="3"/>
    <x v="7"/>
    <x v="3"/>
    <s v="Divorced"/>
    <n v="13269"/>
    <n v="21981"/>
    <n v="5"/>
    <s v="Y"/>
    <x v="1"/>
    <n v="15"/>
    <n v="3"/>
    <n v="3"/>
    <n v="80"/>
    <n v="3"/>
    <n v="19"/>
    <n v="3"/>
    <x v="1"/>
    <x v="13"/>
    <n v="11"/>
    <n v="1"/>
    <n v="11"/>
  </r>
  <r>
    <n v="20"/>
    <x v="1"/>
    <s v="Travel_Rarely"/>
    <n v="1141"/>
    <x v="0"/>
    <n v="2"/>
    <n v="3"/>
    <s v="Medical"/>
    <n v="1"/>
    <n v="1657"/>
    <x v="1"/>
    <s v="Female"/>
    <n v="31"/>
    <n v="3"/>
    <n v="1"/>
    <x v="6"/>
    <x v="2"/>
    <s v="Single"/>
    <n v="2783"/>
    <n v="13251"/>
    <n v="1"/>
    <s v="Y"/>
    <x v="1"/>
    <n v="19"/>
    <n v="3"/>
    <n v="1"/>
    <n v="80"/>
    <n v="0"/>
    <n v="2"/>
    <n v="3"/>
    <x v="1"/>
    <x v="4"/>
    <n v="2"/>
    <n v="2"/>
    <n v="2"/>
  </r>
  <r>
    <n v="34"/>
    <x v="1"/>
    <s v="Travel_Rarely"/>
    <n v="1130"/>
    <x v="1"/>
    <n v="3"/>
    <n v="3"/>
    <s v="Life Sciences"/>
    <n v="1"/>
    <n v="1658"/>
    <x v="2"/>
    <s v="Female"/>
    <n v="66"/>
    <n v="3"/>
    <n v="2"/>
    <x v="1"/>
    <x v="1"/>
    <s v="Divorced"/>
    <n v="5433"/>
    <n v="19332"/>
    <n v="1"/>
    <s v="Y"/>
    <x v="1"/>
    <n v="12"/>
    <n v="3"/>
    <n v="3"/>
    <n v="80"/>
    <n v="1"/>
    <n v="11"/>
    <n v="2"/>
    <x v="1"/>
    <x v="19"/>
    <n v="8"/>
    <n v="7"/>
    <n v="9"/>
  </r>
  <r>
    <n v="36"/>
    <x v="1"/>
    <s v="Travel_Rarely"/>
    <n v="311"/>
    <x v="1"/>
    <n v="7"/>
    <n v="3"/>
    <s v="Life Sciences"/>
    <n v="1"/>
    <n v="1659"/>
    <x v="3"/>
    <s v="Male"/>
    <n v="77"/>
    <n v="3"/>
    <n v="1"/>
    <x v="2"/>
    <x v="1"/>
    <s v="Single"/>
    <n v="2013"/>
    <n v="10950"/>
    <n v="2"/>
    <s v="Y"/>
    <x v="1"/>
    <n v="11"/>
    <n v="3"/>
    <n v="3"/>
    <n v="80"/>
    <n v="0"/>
    <n v="15"/>
    <n v="4"/>
    <x v="1"/>
    <x v="9"/>
    <n v="3"/>
    <n v="1"/>
    <n v="3"/>
  </r>
  <r>
    <n v="49"/>
    <x v="1"/>
    <s v="Travel_Rarely"/>
    <n v="465"/>
    <x v="1"/>
    <n v="6"/>
    <n v="1"/>
    <s v="Life Sciences"/>
    <n v="1"/>
    <n v="1661"/>
    <x v="1"/>
    <s v="Female"/>
    <n v="41"/>
    <n v="2"/>
    <n v="4"/>
    <x v="4"/>
    <x v="2"/>
    <s v="Married"/>
    <n v="13966"/>
    <n v="11652"/>
    <n v="2"/>
    <s v="Y"/>
    <x v="0"/>
    <n v="19"/>
    <n v="3"/>
    <n v="2"/>
    <n v="80"/>
    <n v="1"/>
    <n v="30"/>
    <n v="3"/>
    <x v="1"/>
    <x v="15"/>
    <n v="11"/>
    <n v="2"/>
    <n v="12"/>
  </r>
  <r>
    <n v="36"/>
    <x v="1"/>
    <s v="Non-Travel"/>
    <n v="894"/>
    <x v="1"/>
    <n v="1"/>
    <n v="4"/>
    <s v="Medical"/>
    <n v="1"/>
    <n v="1662"/>
    <x v="2"/>
    <s v="Female"/>
    <n v="33"/>
    <n v="2"/>
    <n v="2"/>
    <x v="3"/>
    <x v="2"/>
    <s v="Married"/>
    <n v="4374"/>
    <n v="15411"/>
    <n v="0"/>
    <s v="Y"/>
    <x v="1"/>
    <n v="15"/>
    <n v="3"/>
    <n v="3"/>
    <n v="80"/>
    <n v="0"/>
    <n v="4"/>
    <n v="6"/>
    <x v="1"/>
    <x v="11"/>
    <n v="2"/>
    <n v="1"/>
    <n v="2"/>
  </r>
  <r>
    <n v="36"/>
    <x v="1"/>
    <s v="Travel_Rarely"/>
    <n v="1040"/>
    <x v="1"/>
    <n v="3"/>
    <n v="2"/>
    <s v="Life Sciences"/>
    <n v="1"/>
    <n v="1664"/>
    <x v="2"/>
    <s v="Male"/>
    <n v="79"/>
    <n v="4"/>
    <n v="2"/>
    <x v="4"/>
    <x v="3"/>
    <s v="Divorced"/>
    <n v="6842"/>
    <n v="26308"/>
    <n v="6"/>
    <s v="Y"/>
    <x v="1"/>
    <n v="20"/>
    <n v="4"/>
    <n v="1"/>
    <n v="80"/>
    <n v="1"/>
    <n v="13"/>
    <n v="3"/>
    <x v="1"/>
    <x v="8"/>
    <n v="4"/>
    <n v="0"/>
    <n v="4"/>
  </r>
  <r>
    <n v="54"/>
    <x v="1"/>
    <s v="Travel_Rarely"/>
    <n v="584"/>
    <x v="1"/>
    <n v="22"/>
    <n v="5"/>
    <s v="Medical"/>
    <n v="1"/>
    <n v="1665"/>
    <x v="0"/>
    <s v="Female"/>
    <n v="91"/>
    <n v="3"/>
    <n v="4"/>
    <x v="5"/>
    <x v="2"/>
    <s v="Married"/>
    <n v="17426"/>
    <n v="18685"/>
    <n v="3"/>
    <s v="Y"/>
    <x v="1"/>
    <n v="25"/>
    <n v="4"/>
    <n v="3"/>
    <n v="80"/>
    <n v="1"/>
    <n v="36"/>
    <n v="6"/>
    <x v="1"/>
    <x v="1"/>
    <n v="8"/>
    <n v="4"/>
    <n v="7"/>
  </r>
  <r>
    <n v="43"/>
    <x v="1"/>
    <s v="Travel_Rarely"/>
    <n v="1291"/>
    <x v="1"/>
    <n v="15"/>
    <n v="2"/>
    <s v="Life Sciences"/>
    <n v="1"/>
    <n v="1666"/>
    <x v="1"/>
    <s v="Male"/>
    <n v="65"/>
    <n v="2"/>
    <n v="4"/>
    <x v="7"/>
    <x v="2"/>
    <s v="Married"/>
    <n v="17603"/>
    <n v="3525"/>
    <n v="1"/>
    <s v="Y"/>
    <x v="1"/>
    <n v="24"/>
    <n v="4"/>
    <n v="1"/>
    <n v="80"/>
    <n v="1"/>
    <n v="14"/>
    <n v="3"/>
    <x v="1"/>
    <x v="13"/>
    <n v="10"/>
    <n v="6"/>
    <n v="11"/>
  </r>
  <r>
    <n v="35"/>
    <x v="0"/>
    <s v="Travel_Frequently"/>
    <n v="880"/>
    <x v="0"/>
    <n v="12"/>
    <n v="4"/>
    <s v="Other"/>
    <n v="1"/>
    <n v="1667"/>
    <x v="2"/>
    <s v="Male"/>
    <n v="36"/>
    <n v="3"/>
    <n v="2"/>
    <x v="0"/>
    <x v="0"/>
    <s v="Single"/>
    <n v="4581"/>
    <n v="10414"/>
    <n v="3"/>
    <s v="Y"/>
    <x v="0"/>
    <n v="24"/>
    <n v="4"/>
    <n v="1"/>
    <n v="80"/>
    <n v="0"/>
    <n v="13"/>
    <n v="2"/>
    <x v="3"/>
    <x v="19"/>
    <n v="9"/>
    <n v="6"/>
    <n v="7"/>
  </r>
  <r>
    <n v="38"/>
    <x v="1"/>
    <s v="Travel_Frequently"/>
    <n v="1189"/>
    <x v="1"/>
    <n v="1"/>
    <n v="3"/>
    <s v="Life Sciences"/>
    <n v="1"/>
    <n v="1668"/>
    <x v="2"/>
    <s v="Male"/>
    <n v="90"/>
    <n v="3"/>
    <n v="2"/>
    <x v="1"/>
    <x v="0"/>
    <s v="Married"/>
    <n v="4735"/>
    <n v="9867"/>
    <n v="7"/>
    <s v="Y"/>
    <x v="1"/>
    <n v="15"/>
    <n v="3"/>
    <n v="4"/>
    <n v="80"/>
    <n v="2"/>
    <n v="19"/>
    <n v="4"/>
    <x v="3"/>
    <x v="20"/>
    <n v="11"/>
    <n v="2"/>
    <n v="9"/>
  </r>
  <r>
    <n v="29"/>
    <x v="1"/>
    <s v="Travel_Rarely"/>
    <n v="991"/>
    <x v="0"/>
    <n v="5"/>
    <n v="3"/>
    <s v="Medical"/>
    <n v="1"/>
    <n v="1669"/>
    <x v="3"/>
    <s v="Male"/>
    <n v="43"/>
    <n v="2"/>
    <n v="2"/>
    <x v="0"/>
    <x v="1"/>
    <s v="Divorced"/>
    <n v="4187"/>
    <n v="3356"/>
    <n v="1"/>
    <s v="Y"/>
    <x v="0"/>
    <n v="13"/>
    <n v="3"/>
    <n v="2"/>
    <n v="80"/>
    <n v="1"/>
    <n v="10"/>
    <n v="3"/>
    <x v="2"/>
    <x v="1"/>
    <n v="0"/>
    <n v="0"/>
    <n v="9"/>
  </r>
  <r>
    <n v="33"/>
    <x v="1"/>
    <s v="Travel_Rarely"/>
    <n v="392"/>
    <x v="0"/>
    <n v="2"/>
    <n v="4"/>
    <s v="Medical"/>
    <n v="1"/>
    <n v="1670"/>
    <x v="2"/>
    <s v="Male"/>
    <n v="93"/>
    <n v="3"/>
    <n v="2"/>
    <x v="0"/>
    <x v="0"/>
    <s v="Divorced"/>
    <n v="5505"/>
    <n v="3921"/>
    <n v="1"/>
    <s v="Y"/>
    <x v="1"/>
    <n v="14"/>
    <n v="3"/>
    <n v="3"/>
    <n v="80"/>
    <n v="2"/>
    <n v="6"/>
    <n v="5"/>
    <x v="1"/>
    <x v="0"/>
    <n v="2"/>
    <n v="0"/>
    <n v="4"/>
  </r>
  <r>
    <n v="32"/>
    <x v="1"/>
    <s v="Travel_Rarely"/>
    <n v="977"/>
    <x v="1"/>
    <n v="2"/>
    <n v="3"/>
    <s v="Medical"/>
    <n v="1"/>
    <n v="1671"/>
    <x v="2"/>
    <s v="Male"/>
    <n v="45"/>
    <n v="3"/>
    <n v="2"/>
    <x v="1"/>
    <x v="1"/>
    <s v="Divorced"/>
    <n v="5470"/>
    <n v="25518"/>
    <n v="0"/>
    <s v="Y"/>
    <x v="1"/>
    <n v="13"/>
    <n v="3"/>
    <n v="3"/>
    <n v="80"/>
    <n v="2"/>
    <n v="10"/>
    <n v="4"/>
    <x v="2"/>
    <x v="7"/>
    <n v="5"/>
    <n v="1"/>
    <n v="6"/>
  </r>
  <r>
    <n v="31"/>
    <x v="1"/>
    <s v="Travel_Rarely"/>
    <n v="1112"/>
    <x v="0"/>
    <n v="5"/>
    <n v="4"/>
    <s v="Life Sciences"/>
    <n v="1"/>
    <n v="1673"/>
    <x v="3"/>
    <s v="Female"/>
    <n v="67"/>
    <n v="3"/>
    <n v="2"/>
    <x v="0"/>
    <x v="0"/>
    <s v="Married"/>
    <n v="5476"/>
    <n v="22589"/>
    <n v="1"/>
    <s v="Y"/>
    <x v="1"/>
    <n v="11"/>
    <n v="3"/>
    <n v="1"/>
    <n v="80"/>
    <n v="2"/>
    <n v="10"/>
    <n v="2"/>
    <x v="1"/>
    <x v="1"/>
    <n v="0"/>
    <n v="0"/>
    <n v="2"/>
  </r>
  <r>
    <n v="49"/>
    <x v="1"/>
    <s v="Travel_Rarely"/>
    <n v="464"/>
    <x v="1"/>
    <n v="16"/>
    <n v="3"/>
    <s v="Medical"/>
    <n v="1"/>
    <n v="1674"/>
    <x v="2"/>
    <s v="Female"/>
    <n v="74"/>
    <n v="3"/>
    <n v="1"/>
    <x v="2"/>
    <x v="3"/>
    <s v="Divorced"/>
    <n v="2587"/>
    <n v="24941"/>
    <n v="4"/>
    <s v="Y"/>
    <x v="0"/>
    <n v="16"/>
    <n v="3"/>
    <n v="2"/>
    <n v="80"/>
    <n v="1"/>
    <n v="17"/>
    <n v="2"/>
    <x v="2"/>
    <x v="4"/>
    <n v="2"/>
    <n v="2"/>
    <n v="2"/>
  </r>
  <r>
    <n v="38"/>
    <x v="1"/>
    <s v="Travel_Frequently"/>
    <n v="148"/>
    <x v="1"/>
    <n v="2"/>
    <n v="3"/>
    <s v="Medical"/>
    <n v="1"/>
    <n v="1675"/>
    <x v="2"/>
    <s v="Female"/>
    <n v="42"/>
    <n v="2"/>
    <n v="1"/>
    <x v="2"/>
    <x v="1"/>
    <s v="Single"/>
    <n v="2440"/>
    <n v="23826"/>
    <n v="1"/>
    <s v="Y"/>
    <x v="1"/>
    <n v="22"/>
    <n v="4"/>
    <n v="2"/>
    <n v="80"/>
    <n v="0"/>
    <n v="4"/>
    <n v="3"/>
    <x v="1"/>
    <x v="9"/>
    <n v="3"/>
    <n v="3"/>
    <n v="3"/>
  </r>
  <r>
    <n v="47"/>
    <x v="1"/>
    <s v="Travel_Rarely"/>
    <n v="1225"/>
    <x v="0"/>
    <n v="2"/>
    <n v="4"/>
    <s v="Life Sciences"/>
    <n v="1"/>
    <n v="1676"/>
    <x v="0"/>
    <s v="Female"/>
    <n v="47"/>
    <n v="4"/>
    <n v="4"/>
    <x v="5"/>
    <x v="1"/>
    <s v="Divorced"/>
    <n v="15972"/>
    <n v="21086"/>
    <n v="6"/>
    <s v="Y"/>
    <x v="1"/>
    <n v="14"/>
    <n v="3"/>
    <n v="3"/>
    <n v="80"/>
    <n v="3"/>
    <n v="29"/>
    <n v="2"/>
    <x v="1"/>
    <x v="11"/>
    <n v="2"/>
    <n v="1"/>
    <n v="2"/>
  </r>
  <r>
    <n v="49"/>
    <x v="1"/>
    <s v="Travel_Rarely"/>
    <n v="809"/>
    <x v="1"/>
    <n v="1"/>
    <n v="3"/>
    <s v="Life Sciences"/>
    <n v="1"/>
    <n v="1677"/>
    <x v="1"/>
    <s v="Male"/>
    <n v="36"/>
    <n v="3"/>
    <n v="4"/>
    <x v="5"/>
    <x v="2"/>
    <s v="Single"/>
    <n v="15379"/>
    <n v="22384"/>
    <n v="4"/>
    <s v="Y"/>
    <x v="1"/>
    <n v="14"/>
    <n v="3"/>
    <n v="1"/>
    <n v="80"/>
    <n v="0"/>
    <n v="23"/>
    <n v="2"/>
    <x v="1"/>
    <x v="3"/>
    <n v="7"/>
    <n v="0"/>
    <n v="0"/>
  </r>
  <r>
    <n v="41"/>
    <x v="1"/>
    <s v="Travel_Rarely"/>
    <n v="1206"/>
    <x v="0"/>
    <n v="23"/>
    <n v="2"/>
    <s v="Life Sciences"/>
    <n v="1"/>
    <n v="1678"/>
    <x v="2"/>
    <s v="Male"/>
    <n v="80"/>
    <n v="3"/>
    <n v="3"/>
    <x v="0"/>
    <x v="2"/>
    <s v="Single"/>
    <n v="7082"/>
    <n v="11591"/>
    <n v="3"/>
    <s v="Y"/>
    <x v="0"/>
    <n v="16"/>
    <n v="3"/>
    <n v="4"/>
    <n v="80"/>
    <n v="0"/>
    <n v="21"/>
    <n v="2"/>
    <x v="1"/>
    <x v="4"/>
    <n v="0"/>
    <n v="0"/>
    <n v="2"/>
  </r>
  <r>
    <n v="20"/>
    <x v="1"/>
    <s v="Travel_Rarely"/>
    <n v="727"/>
    <x v="0"/>
    <n v="9"/>
    <n v="1"/>
    <s v="Life Sciences"/>
    <n v="1"/>
    <n v="1680"/>
    <x v="2"/>
    <s v="Male"/>
    <n v="54"/>
    <n v="3"/>
    <n v="1"/>
    <x v="6"/>
    <x v="3"/>
    <s v="Single"/>
    <n v="2728"/>
    <n v="21082"/>
    <n v="1"/>
    <s v="Y"/>
    <x v="1"/>
    <n v="11"/>
    <n v="3"/>
    <n v="1"/>
    <n v="80"/>
    <n v="0"/>
    <n v="2"/>
    <n v="3"/>
    <x v="1"/>
    <x v="4"/>
    <n v="2"/>
    <n v="0"/>
    <n v="2"/>
  </r>
  <r>
    <n v="33"/>
    <x v="1"/>
    <s v="Non-Travel"/>
    <n v="530"/>
    <x v="0"/>
    <n v="16"/>
    <n v="3"/>
    <s v="Life Sciences"/>
    <n v="1"/>
    <n v="1681"/>
    <x v="1"/>
    <s v="Female"/>
    <n v="36"/>
    <n v="3"/>
    <n v="2"/>
    <x v="0"/>
    <x v="0"/>
    <s v="Divorced"/>
    <n v="5368"/>
    <n v="16130"/>
    <n v="1"/>
    <s v="Y"/>
    <x v="0"/>
    <n v="25"/>
    <n v="4"/>
    <n v="3"/>
    <n v="80"/>
    <n v="1"/>
    <n v="7"/>
    <n v="2"/>
    <x v="1"/>
    <x v="0"/>
    <n v="5"/>
    <n v="1"/>
    <n v="2"/>
  </r>
  <r>
    <n v="36"/>
    <x v="1"/>
    <s v="Travel_Rarely"/>
    <n v="1351"/>
    <x v="1"/>
    <n v="26"/>
    <n v="4"/>
    <s v="Life Sciences"/>
    <n v="1"/>
    <n v="1682"/>
    <x v="3"/>
    <s v="Male"/>
    <n v="80"/>
    <n v="3"/>
    <n v="2"/>
    <x v="4"/>
    <x v="2"/>
    <s v="Married"/>
    <n v="5347"/>
    <n v="7419"/>
    <n v="6"/>
    <s v="Y"/>
    <x v="1"/>
    <n v="14"/>
    <n v="3"/>
    <n v="2"/>
    <n v="80"/>
    <n v="2"/>
    <n v="10"/>
    <n v="2"/>
    <x v="2"/>
    <x v="11"/>
    <n v="2"/>
    <n v="0"/>
    <n v="2"/>
  </r>
  <r>
    <n v="44"/>
    <x v="1"/>
    <s v="Travel_Rarely"/>
    <n v="528"/>
    <x v="2"/>
    <n v="1"/>
    <n v="3"/>
    <s v="Life Sciences"/>
    <n v="1"/>
    <n v="1683"/>
    <x v="1"/>
    <s v="Female"/>
    <n v="44"/>
    <n v="3"/>
    <n v="1"/>
    <x v="8"/>
    <x v="0"/>
    <s v="Divorced"/>
    <n v="3195"/>
    <n v="4167"/>
    <n v="4"/>
    <s v="Y"/>
    <x v="0"/>
    <n v="18"/>
    <n v="3"/>
    <n v="1"/>
    <n v="80"/>
    <n v="3"/>
    <n v="8"/>
    <n v="2"/>
    <x v="1"/>
    <x v="4"/>
    <n v="2"/>
    <n v="2"/>
    <n v="2"/>
  </r>
  <r>
    <n v="23"/>
    <x v="0"/>
    <s v="Travel_Rarely"/>
    <n v="1320"/>
    <x v="1"/>
    <n v="8"/>
    <n v="1"/>
    <s v="Medical"/>
    <n v="1"/>
    <n v="1684"/>
    <x v="2"/>
    <s v="Male"/>
    <n v="93"/>
    <n v="2"/>
    <n v="1"/>
    <x v="2"/>
    <x v="2"/>
    <s v="Single"/>
    <n v="3989"/>
    <n v="20586"/>
    <n v="1"/>
    <s v="Y"/>
    <x v="0"/>
    <n v="11"/>
    <n v="3"/>
    <n v="1"/>
    <n v="80"/>
    <n v="0"/>
    <n v="5"/>
    <n v="2"/>
    <x v="1"/>
    <x v="8"/>
    <n v="4"/>
    <n v="1"/>
    <n v="2"/>
  </r>
  <r>
    <n v="38"/>
    <x v="1"/>
    <s v="Travel_Rarely"/>
    <n v="1495"/>
    <x v="1"/>
    <n v="4"/>
    <n v="2"/>
    <s v="Medical"/>
    <n v="1"/>
    <n v="1687"/>
    <x v="2"/>
    <s v="Female"/>
    <n v="87"/>
    <n v="3"/>
    <n v="1"/>
    <x v="2"/>
    <x v="2"/>
    <s v="Married"/>
    <n v="3306"/>
    <n v="26176"/>
    <n v="7"/>
    <s v="Y"/>
    <x v="1"/>
    <n v="19"/>
    <n v="3"/>
    <n v="4"/>
    <n v="80"/>
    <n v="1"/>
    <n v="7"/>
    <n v="5"/>
    <x v="2"/>
    <x v="2"/>
    <n v="0"/>
    <n v="0"/>
    <n v="0"/>
  </r>
  <r>
    <n v="53"/>
    <x v="1"/>
    <s v="Travel_Rarely"/>
    <n v="1395"/>
    <x v="1"/>
    <n v="24"/>
    <n v="4"/>
    <s v="Medical"/>
    <n v="1"/>
    <n v="1689"/>
    <x v="0"/>
    <s v="Male"/>
    <n v="48"/>
    <n v="4"/>
    <n v="3"/>
    <x v="4"/>
    <x v="0"/>
    <s v="Married"/>
    <n v="7005"/>
    <n v="3458"/>
    <n v="3"/>
    <s v="Y"/>
    <x v="1"/>
    <n v="15"/>
    <n v="3"/>
    <n v="3"/>
    <n v="80"/>
    <n v="0"/>
    <n v="11"/>
    <n v="2"/>
    <x v="1"/>
    <x v="9"/>
    <n v="3"/>
    <n v="1"/>
    <n v="2"/>
  </r>
  <r>
    <n v="48"/>
    <x v="0"/>
    <s v="Travel_Frequently"/>
    <n v="708"/>
    <x v="0"/>
    <n v="7"/>
    <n v="2"/>
    <s v="Medical"/>
    <n v="1"/>
    <n v="1691"/>
    <x v="2"/>
    <s v="Female"/>
    <n v="95"/>
    <n v="3"/>
    <n v="1"/>
    <x v="6"/>
    <x v="2"/>
    <s v="Married"/>
    <n v="2655"/>
    <n v="11740"/>
    <n v="2"/>
    <s v="Y"/>
    <x v="0"/>
    <n v="11"/>
    <n v="3"/>
    <n v="3"/>
    <n v="80"/>
    <n v="2"/>
    <n v="19"/>
    <n v="3"/>
    <x v="1"/>
    <x v="7"/>
    <n v="7"/>
    <n v="7"/>
    <n v="7"/>
  </r>
  <r>
    <n v="32"/>
    <x v="0"/>
    <s v="Travel_Rarely"/>
    <n v="1259"/>
    <x v="1"/>
    <n v="2"/>
    <n v="4"/>
    <s v="Life Sciences"/>
    <n v="1"/>
    <n v="1692"/>
    <x v="2"/>
    <s v="Male"/>
    <n v="95"/>
    <n v="3"/>
    <n v="1"/>
    <x v="2"/>
    <x v="1"/>
    <s v="Single"/>
    <n v="1393"/>
    <n v="24852"/>
    <n v="1"/>
    <s v="Y"/>
    <x v="1"/>
    <n v="12"/>
    <n v="3"/>
    <n v="1"/>
    <n v="80"/>
    <n v="0"/>
    <n v="1"/>
    <n v="2"/>
    <x v="1"/>
    <x v="6"/>
    <n v="0"/>
    <n v="0"/>
    <n v="0"/>
  </r>
  <r>
    <n v="26"/>
    <x v="1"/>
    <s v="Non-Travel"/>
    <n v="786"/>
    <x v="1"/>
    <n v="7"/>
    <n v="3"/>
    <s v="Medical"/>
    <n v="1"/>
    <n v="1693"/>
    <x v="2"/>
    <s v="Male"/>
    <n v="76"/>
    <n v="3"/>
    <n v="1"/>
    <x v="2"/>
    <x v="0"/>
    <s v="Single"/>
    <n v="2570"/>
    <n v="11925"/>
    <n v="1"/>
    <s v="Y"/>
    <x v="1"/>
    <n v="20"/>
    <n v="4"/>
    <n v="3"/>
    <n v="80"/>
    <n v="0"/>
    <n v="7"/>
    <n v="5"/>
    <x v="1"/>
    <x v="5"/>
    <n v="7"/>
    <n v="5"/>
    <n v="7"/>
  </r>
  <r>
    <n v="55"/>
    <x v="1"/>
    <s v="Travel_Rarely"/>
    <n v="1441"/>
    <x v="1"/>
    <n v="22"/>
    <n v="3"/>
    <s v="Technical Degree"/>
    <n v="1"/>
    <n v="1694"/>
    <x v="3"/>
    <s v="Male"/>
    <n v="94"/>
    <n v="2"/>
    <n v="1"/>
    <x v="1"/>
    <x v="1"/>
    <s v="Divorced"/>
    <n v="3537"/>
    <n v="23737"/>
    <n v="5"/>
    <s v="Y"/>
    <x v="1"/>
    <n v="12"/>
    <n v="3"/>
    <n v="4"/>
    <n v="80"/>
    <n v="1"/>
    <n v="8"/>
    <n v="1"/>
    <x v="1"/>
    <x v="9"/>
    <n v="2"/>
    <n v="1"/>
    <n v="2"/>
  </r>
  <r>
    <n v="34"/>
    <x v="1"/>
    <s v="Travel_Rarely"/>
    <n v="1157"/>
    <x v="1"/>
    <n v="5"/>
    <n v="2"/>
    <s v="Medical"/>
    <n v="1"/>
    <n v="1696"/>
    <x v="0"/>
    <s v="Male"/>
    <n v="57"/>
    <n v="2"/>
    <n v="2"/>
    <x v="2"/>
    <x v="0"/>
    <s v="Married"/>
    <n v="3986"/>
    <n v="11912"/>
    <n v="1"/>
    <s v="Y"/>
    <x v="1"/>
    <n v="14"/>
    <n v="3"/>
    <n v="3"/>
    <n v="80"/>
    <n v="1"/>
    <n v="15"/>
    <n v="3"/>
    <x v="3"/>
    <x v="15"/>
    <n v="10"/>
    <n v="4"/>
    <n v="13"/>
  </r>
  <r>
    <n v="60"/>
    <x v="1"/>
    <s v="Travel_Rarely"/>
    <n v="370"/>
    <x v="1"/>
    <n v="1"/>
    <n v="4"/>
    <s v="Medical"/>
    <n v="1"/>
    <n v="1697"/>
    <x v="1"/>
    <s v="Male"/>
    <n v="92"/>
    <n v="1"/>
    <n v="3"/>
    <x v="4"/>
    <x v="0"/>
    <s v="Divorced"/>
    <n v="10883"/>
    <n v="20467"/>
    <n v="3"/>
    <s v="Y"/>
    <x v="1"/>
    <n v="20"/>
    <n v="4"/>
    <n v="3"/>
    <n v="80"/>
    <n v="1"/>
    <n v="19"/>
    <n v="2"/>
    <x v="3"/>
    <x v="6"/>
    <n v="0"/>
    <n v="0"/>
    <n v="0"/>
  </r>
  <r>
    <n v="33"/>
    <x v="1"/>
    <s v="Travel_Rarely"/>
    <n v="267"/>
    <x v="1"/>
    <n v="21"/>
    <n v="3"/>
    <s v="Medical"/>
    <n v="1"/>
    <n v="1698"/>
    <x v="0"/>
    <s v="Male"/>
    <n v="79"/>
    <n v="4"/>
    <n v="1"/>
    <x v="2"/>
    <x v="1"/>
    <s v="Married"/>
    <n v="2028"/>
    <n v="13637"/>
    <n v="1"/>
    <s v="Y"/>
    <x v="1"/>
    <n v="18"/>
    <n v="3"/>
    <n v="4"/>
    <n v="80"/>
    <n v="3"/>
    <n v="14"/>
    <n v="6"/>
    <x v="1"/>
    <x v="13"/>
    <n v="11"/>
    <n v="2"/>
    <n v="13"/>
  </r>
  <r>
    <n v="37"/>
    <x v="1"/>
    <s v="Travel_Frequently"/>
    <n v="1278"/>
    <x v="0"/>
    <n v="1"/>
    <n v="4"/>
    <s v="Medical"/>
    <n v="1"/>
    <n v="1700"/>
    <x v="1"/>
    <s v="Male"/>
    <n v="31"/>
    <n v="1"/>
    <n v="2"/>
    <x v="0"/>
    <x v="0"/>
    <s v="Divorced"/>
    <n v="9525"/>
    <n v="7677"/>
    <n v="1"/>
    <s v="Y"/>
    <x v="1"/>
    <n v="14"/>
    <n v="3"/>
    <n v="3"/>
    <n v="80"/>
    <n v="2"/>
    <n v="6"/>
    <n v="2"/>
    <x v="2"/>
    <x v="0"/>
    <n v="3"/>
    <n v="1"/>
    <n v="3"/>
  </r>
  <r>
    <n v="34"/>
    <x v="1"/>
    <s v="Travel_Rarely"/>
    <n v="678"/>
    <x v="1"/>
    <n v="19"/>
    <n v="3"/>
    <s v="Life Sciences"/>
    <n v="1"/>
    <n v="1701"/>
    <x v="0"/>
    <s v="Female"/>
    <n v="35"/>
    <n v="2"/>
    <n v="1"/>
    <x v="1"/>
    <x v="0"/>
    <s v="Married"/>
    <n v="2929"/>
    <n v="20338"/>
    <n v="1"/>
    <s v="Y"/>
    <x v="1"/>
    <n v="12"/>
    <n v="3"/>
    <n v="2"/>
    <n v="80"/>
    <n v="0"/>
    <n v="10"/>
    <n v="3"/>
    <x v="1"/>
    <x v="1"/>
    <n v="9"/>
    <n v="8"/>
    <n v="7"/>
  </r>
  <r>
    <n v="23"/>
    <x v="0"/>
    <s v="Travel_Rarely"/>
    <n v="427"/>
    <x v="0"/>
    <n v="7"/>
    <n v="3"/>
    <s v="Life Sciences"/>
    <n v="1"/>
    <n v="1702"/>
    <x v="1"/>
    <s v="Male"/>
    <n v="99"/>
    <n v="3"/>
    <n v="1"/>
    <x v="6"/>
    <x v="0"/>
    <s v="Divorced"/>
    <n v="2275"/>
    <n v="25103"/>
    <n v="1"/>
    <s v="Y"/>
    <x v="0"/>
    <n v="21"/>
    <n v="4"/>
    <n v="2"/>
    <n v="80"/>
    <n v="1"/>
    <n v="3"/>
    <n v="2"/>
    <x v="1"/>
    <x v="11"/>
    <n v="2"/>
    <n v="0"/>
    <n v="2"/>
  </r>
  <r>
    <n v="44"/>
    <x v="1"/>
    <s v="Travel_Rarely"/>
    <n v="921"/>
    <x v="1"/>
    <n v="2"/>
    <n v="3"/>
    <s v="Life Sciences"/>
    <n v="1"/>
    <n v="1703"/>
    <x v="1"/>
    <s v="Female"/>
    <n v="96"/>
    <n v="4"/>
    <n v="3"/>
    <x v="4"/>
    <x v="0"/>
    <s v="Married"/>
    <n v="7879"/>
    <n v="14810"/>
    <n v="1"/>
    <s v="Y"/>
    <x v="0"/>
    <n v="19"/>
    <n v="3"/>
    <n v="2"/>
    <n v="80"/>
    <n v="1"/>
    <n v="9"/>
    <n v="2"/>
    <x v="1"/>
    <x v="3"/>
    <n v="7"/>
    <n v="6"/>
    <n v="7"/>
  </r>
  <r>
    <n v="35"/>
    <x v="1"/>
    <s v="Travel_Frequently"/>
    <n v="146"/>
    <x v="1"/>
    <n v="2"/>
    <n v="4"/>
    <s v="Medical"/>
    <n v="1"/>
    <n v="1704"/>
    <x v="3"/>
    <s v="Male"/>
    <n v="79"/>
    <n v="2"/>
    <n v="1"/>
    <x v="1"/>
    <x v="0"/>
    <s v="Single"/>
    <n v="4930"/>
    <n v="13970"/>
    <n v="0"/>
    <s v="Y"/>
    <x v="0"/>
    <n v="14"/>
    <n v="3"/>
    <n v="3"/>
    <n v="80"/>
    <n v="0"/>
    <n v="6"/>
    <n v="2"/>
    <x v="3"/>
    <x v="8"/>
    <n v="4"/>
    <n v="1"/>
    <n v="4"/>
  </r>
  <r>
    <n v="43"/>
    <x v="1"/>
    <s v="Travel_Rarely"/>
    <n v="1179"/>
    <x v="0"/>
    <n v="2"/>
    <n v="3"/>
    <s v="Medical"/>
    <n v="1"/>
    <n v="1706"/>
    <x v="2"/>
    <s v="Male"/>
    <n v="73"/>
    <n v="3"/>
    <n v="2"/>
    <x v="0"/>
    <x v="0"/>
    <s v="Married"/>
    <n v="7847"/>
    <n v="6069"/>
    <n v="1"/>
    <s v="Y"/>
    <x v="0"/>
    <n v="17"/>
    <n v="3"/>
    <n v="1"/>
    <n v="80"/>
    <n v="1"/>
    <n v="10"/>
    <n v="3"/>
    <x v="1"/>
    <x v="1"/>
    <n v="9"/>
    <n v="8"/>
    <n v="8"/>
  </r>
  <r>
    <n v="24"/>
    <x v="1"/>
    <s v="Travel_Rarely"/>
    <n v="581"/>
    <x v="1"/>
    <n v="9"/>
    <n v="3"/>
    <s v="Medical"/>
    <n v="1"/>
    <n v="1707"/>
    <x v="1"/>
    <s v="Male"/>
    <n v="62"/>
    <n v="4"/>
    <n v="1"/>
    <x v="1"/>
    <x v="2"/>
    <s v="Married"/>
    <n v="4401"/>
    <n v="17616"/>
    <n v="1"/>
    <s v="Y"/>
    <x v="1"/>
    <n v="16"/>
    <n v="3"/>
    <n v="4"/>
    <n v="80"/>
    <n v="1"/>
    <n v="5"/>
    <n v="1"/>
    <x v="1"/>
    <x v="8"/>
    <n v="3"/>
    <n v="0"/>
    <n v="4"/>
  </r>
  <r>
    <n v="41"/>
    <x v="1"/>
    <s v="Travel_Rarely"/>
    <n v="918"/>
    <x v="0"/>
    <n v="6"/>
    <n v="3"/>
    <s v="Marketing"/>
    <n v="1"/>
    <n v="1708"/>
    <x v="2"/>
    <s v="Male"/>
    <n v="35"/>
    <n v="3"/>
    <n v="3"/>
    <x v="0"/>
    <x v="2"/>
    <s v="Single"/>
    <n v="9241"/>
    <n v="15869"/>
    <n v="1"/>
    <s v="Y"/>
    <x v="1"/>
    <n v="12"/>
    <n v="3"/>
    <n v="2"/>
    <n v="80"/>
    <n v="0"/>
    <n v="10"/>
    <n v="3"/>
    <x v="1"/>
    <x v="1"/>
    <n v="8"/>
    <n v="8"/>
    <n v="7"/>
  </r>
  <r>
    <n v="29"/>
    <x v="1"/>
    <s v="Travel_Rarely"/>
    <n v="1082"/>
    <x v="1"/>
    <n v="9"/>
    <n v="4"/>
    <s v="Medical"/>
    <n v="1"/>
    <n v="1709"/>
    <x v="2"/>
    <s v="Female"/>
    <n v="43"/>
    <n v="3"/>
    <n v="1"/>
    <x v="2"/>
    <x v="2"/>
    <s v="Married"/>
    <n v="2974"/>
    <n v="25412"/>
    <n v="9"/>
    <s v="Y"/>
    <x v="1"/>
    <n v="17"/>
    <n v="3"/>
    <n v="3"/>
    <n v="80"/>
    <n v="1"/>
    <n v="9"/>
    <n v="2"/>
    <x v="1"/>
    <x v="8"/>
    <n v="3"/>
    <n v="1"/>
    <n v="2"/>
  </r>
  <r>
    <n v="36"/>
    <x v="1"/>
    <s v="Travel_Rarely"/>
    <n v="530"/>
    <x v="0"/>
    <n v="2"/>
    <n v="4"/>
    <s v="Life Sciences"/>
    <n v="1"/>
    <n v="1710"/>
    <x v="1"/>
    <s v="Female"/>
    <n v="51"/>
    <n v="3"/>
    <n v="2"/>
    <x v="6"/>
    <x v="0"/>
    <s v="Single"/>
    <n v="4502"/>
    <n v="7439"/>
    <n v="3"/>
    <s v="Y"/>
    <x v="1"/>
    <n v="15"/>
    <n v="3"/>
    <n v="3"/>
    <n v="80"/>
    <n v="0"/>
    <n v="17"/>
    <n v="2"/>
    <x v="2"/>
    <x v="20"/>
    <n v="7"/>
    <n v="6"/>
    <n v="7"/>
  </r>
  <r>
    <n v="45"/>
    <x v="1"/>
    <s v="Non-Travel"/>
    <n v="1238"/>
    <x v="1"/>
    <n v="1"/>
    <n v="1"/>
    <s v="Life Sciences"/>
    <n v="1"/>
    <n v="1712"/>
    <x v="1"/>
    <s v="Male"/>
    <n v="74"/>
    <n v="2"/>
    <n v="3"/>
    <x v="4"/>
    <x v="2"/>
    <s v="Married"/>
    <n v="10748"/>
    <n v="3395"/>
    <n v="3"/>
    <s v="Y"/>
    <x v="1"/>
    <n v="23"/>
    <n v="4"/>
    <n v="4"/>
    <n v="80"/>
    <n v="1"/>
    <n v="25"/>
    <n v="3"/>
    <x v="2"/>
    <x v="36"/>
    <n v="15"/>
    <n v="14"/>
    <n v="4"/>
  </r>
  <r>
    <n v="24"/>
    <x v="0"/>
    <s v="Travel_Rarely"/>
    <n v="240"/>
    <x v="2"/>
    <n v="22"/>
    <n v="1"/>
    <s v="Human Resources"/>
    <n v="1"/>
    <n v="1714"/>
    <x v="2"/>
    <s v="Male"/>
    <n v="58"/>
    <n v="1"/>
    <n v="1"/>
    <x v="8"/>
    <x v="2"/>
    <s v="Married"/>
    <n v="1555"/>
    <n v="11585"/>
    <n v="1"/>
    <s v="Y"/>
    <x v="1"/>
    <n v="11"/>
    <n v="3"/>
    <n v="3"/>
    <n v="80"/>
    <n v="1"/>
    <n v="1"/>
    <n v="2"/>
    <x v="1"/>
    <x v="6"/>
    <n v="0"/>
    <n v="0"/>
    <n v="0"/>
  </r>
  <r>
    <n v="47"/>
    <x v="0"/>
    <s v="Travel_Frequently"/>
    <n v="1093"/>
    <x v="0"/>
    <n v="9"/>
    <n v="3"/>
    <s v="Life Sciences"/>
    <n v="1"/>
    <n v="1716"/>
    <x v="1"/>
    <s v="Male"/>
    <n v="82"/>
    <n v="1"/>
    <n v="4"/>
    <x v="0"/>
    <x v="2"/>
    <s v="Married"/>
    <n v="12936"/>
    <n v="24164"/>
    <n v="7"/>
    <s v="Y"/>
    <x v="1"/>
    <n v="11"/>
    <n v="3"/>
    <n v="3"/>
    <n v="80"/>
    <n v="0"/>
    <n v="25"/>
    <n v="3"/>
    <x v="0"/>
    <x v="36"/>
    <n v="5"/>
    <n v="14"/>
    <n v="10"/>
  </r>
  <r>
    <n v="26"/>
    <x v="1"/>
    <s v="Travel_Rarely"/>
    <n v="390"/>
    <x v="1"/>
    <n v="17"/>
    <n v="4"/>
    <s v="Medical"/>
    <n v="1"/>
    <n v="1718"/>
    <x v="2"/>
    <s v="Male"/>
    <n v="62"/>
    <n v="1"/>
    <n v="1"/>
    <x v="2"/>
    <x v="2"/>
    <s v="Married"/>
    <n v="2305"/>
    <n v="6217"/>
    <n v="1"/>
    <s v="Y"/>
    <x v="1"/>
    <n v="15"/>
    <n v="3"/>
    <n v="3"/>
    <n v="80"/>
    <n v="3"/>
    <n v="3"/>
    <n v="3"/>
    <x v="3"/>
    <x v="11"/>
    <n v="2"/>
    <n v="0"/>
    <n v="2"/>
  </r>
  <r>
    <n v="45"/>
    <x v="1"/>
    <s v="Travel_Rarely"/>
    <n v="1005"/>
    <x v="1"/>
    <n v="28"/>
    <n v="2"/>
    <s v="Technical Degree"/>
    <n v="1"/>
    <n v="1719"/>
    <x v="2"/>
    <s v="Female"/>
    <n v="48"/>
    <n v="2"/>
    <n v="4"/>
    <x v="7"/>
    <x v="1"/>
    <s v="Single"/>
    <n v="16704"/>
    <n v="17119"/>
    <n v="1"/>
    <s v="Y"/>
    <x v="1"/>
    <n v="11"/>
    <n v="3"/>
    <n v="3"/>
    <n v="80"/>
    <n v="0"/>
    <n v="21"/>
    <n v="2"/>
    <x v="1"/>
    <x v="17"/>
    <n v="6"/>
    <n v="8"/>
    <n v="6"/>
  </r>
  <r>
    <n v="32"/>
    <x v="1"/>
    <s v="Travel_Frequently"/>
    <n v="585"/>
    <x v="1"/>
    <n v="10"/>
    <n v="3"/>
    <s v="Life Sciences"/>
    <n v="1"/>
    <n v="1720"/>
    <x v="3"/>
    <s v="Male"/>
    <n v="56"/>
    <n v="3"/>
    <n v="1"/>
    <x v="1"/>
    <x v="2"/>
    <s v="Married"/>
    <n v="3433"/>
    <n v="17360"/>
    <n v="6"/>
    <s v="Y"/>
    <x v="1"/>
    <n v="13"/>
    <n v="3"/>
    <n v="1"/>
    <n v="80"/>
    <n v="1"/>
    <n v="10"/>
    <n v="3"/>
    <x v="2"/>
    <x v="8"/>
    <n v="2"/>
    <n v="1"/>
    <n v="3"/>
  </r>
  <r>
    <n v="31"/>
    <x v="1"/>
    <s v="Travel_Rarely"/>
    <n v="741"/>
    <x v="1"/>
    <n v="2"/>
    <n v="4"/>
    <s v="Life Sciences"/>
    <n v="1"/>
    <n v="1721"/>
    <x v="0"/>
    <s v="Male"/>
    <n v="69"/>
    <n v="3"/>
    <n v="1"/>
    <x v="2"/>
    <x v="2"/>
    <s v="Married"/>
    <n v="3477"/>
    <n v="18103"/>
    <n v="1"/>
    <s v="Y"/>
    <x v="1"/>
    <n v="14"/>
    <n v="3"/>
    <n v="4"/>
    <n v="80"/>
    <n v="1"/>
    <n v="6"/>
    <n v="2"/>
    <x v="3"/>
    <x v="8"/>
    <n v="2"/>
    <n v="0"/>
    <n v="3"/>
  </r>
  <r>
    <n v="41"/>
    <x v="1"/>
    <s v="Non-Travel"/>
    <n v="552"/>
    <x v="2"/>
    <n v="4"/>
    <n v="3"/>
    <s v="Human Resources"/>
    <n v="1"/>
    <n v="1722"/>
    <x v="1"/>
    <s v="Male"/>
    <n v="60"/>
    <n v="1"/>
    <n v="2"/>
    <x v="8"/>
    <x v="1"/>
    <s v="Married"/>
    <n v="6430"/>
    <n v="20794"/>
    <n v="6"/>
    <s v="Y"/>
    <x v="1"/>
    <n v="19"/>
    <n v="3"/>
    <n v="2"/>
    <n v="80"/>
    <n v="1"/>
    <n v="10"/>
    <n v="4"/>
    <x v="1"/>
    <x v="11"/>
    <n v="2"/>
    <n v="1"/>
    <n v="2"/>
  </r>
  <r>
    <n v="40"/>
    <x v="1"/>
    <s v="Travel_Rarely"/>
    <n v="369"/>
    <x v="1"/>
    <n v="8"/>
    <n v="2"/>
    <s v="Life Sciences"/>
    <n v="1"/>
    <n v="1724"/>
    <x v="0"/>
    <s v="Female"/>
    <n v="92"/>
    <n v="3"/>
    <n v="2"/>
    <x v="3"/>
    <x v="3"/>
    <s v="Married"/>
    <n v="6516"/>
    <n v="5041"/>
    <n v="2"/>
    <s v="Y"/>
    <x v="0"/>
    <n v="16"/>
    <n v="3"/>
    <n v="2"/>
    <n v="80"/>
    <n v="1"/>
    <n v="18"/>
    <n v="3"/>
    <x v="1"/>
    <x v="6"/>
    <n v="0"/>
    <n v="0"/>
    <n v="0"/>
  </r>
  <r>
    <n v="24"/>
    <x v="1"/>
    <s v="Travel_Rarely"/>
    <n v="506"/>
    <x v="1"/>
    <n v="29"/>
    <n v="1"/>
    <s v="Medical"/>
    <n v="1"/>
    <n v="1725"/>
    <x v="0"/>
    <s v="Male"/>
    <n v="91"/>
    <n v="3"/>
    <n v="1"/>
    <x v="2"/>
    <x v="3"/>
    <s v="Divorced"/>
    <n v="3907"/>
    <n v="3622"/>
    <n v="1"/>
    <s v="Y"/>
    <x v="1"/>
    <n v="13"/>
    <n v="3"/>
    <n v="2"/>
    <n v="80"/>
    <n v="3"/>
    <n v="6"/>
    <n v="2"/>
    <x v="3"/>
    <x v="0"/>
    <n v="2"/>
    <n v="1"/>
    <n v="2"/>
  </r>
  <r>
    <n v="46"/>
    <x v="1"/>
    <s v="Travel_Rarely"/>
    <n v="717"/>
    <x v="1"/>
    <n v="13"/>
    <n v="4"/>
    <s v="Life Sciences"/>
    <n v="1"/>
    <n v="1727"/>
    <x v="1"/>
    <s v="Male"/>
    <n v="34"/>
    <n v="3"/>
    <n v="2"/>
    <x v="4"/>
    <x v="1"/>
    <s v="Single"/>
    <n v="5562"/>
    <n v="9697"/>
    <n v="6"/>
    <s v="Y"/>
    <x v="1"/>
    <n v="14"/>
    <n v="3"/>
    <n v="4"/>
    <n v="80"/>
    <n v="0"/>
    <n v="19"/>
    <n v="3"/>
    <x v="1"/>
    <x v="1"/>
    <n v="7"/>
    <n v="0"/>
    <n v="9"/>
  </r>
  <r>
    <n v="35"/>
    <x v="1"/>
    <s v="Travel_Rarely"/>
    <n v="1370"/>
    <x v="1"/>
    <n v="27"/>
    <n v="4"/>
    <s v="Life Sciences"/>
    <n v="1"/>
    <n v="1728"/>
    <x v="2"/>
    <s v="Male"/>
    <n v="49"/>
    <n v="3"/>
    <n v="2"/>
    <x v="3"/>
    <x v="2"/>
    <s v="Married"/>
    <n v="6883"/>
    <n v="5151"/>
    <n v="2"/>
    <s v="Y"/>
    <x v="1"/>
    <n v="16"/>
    <n v="3"/>
    <n v="2"/>
    <n v="80"/>
    <n v="1"/>
    <n v="17"/>
    <n v="3"/>
    <x v="1"/>
    <x v="5"/>
    <n v="7"/>
    <n v="0"/>
    <n v="7"/>
  </r>
  <r>
    <n v="30"/>
    <x v="1"/>
    <s v="Travel_Rarely"/>
    <n v="793"/>
    <x v="1"/>
    <n v="16"/>
    <n v="1"/>
    <s v="Life Sciences"/>
    <n v="1"/>
    <n v="1729"/>
    <x v="0"/>
    <s v="Male"/>
    <n v="33"/>
    <n v="3"/>
    <n v="1"/>
    <x v="1"/>
    <x v="0"/>
    <s v="Married"/>
    <n v="2862"/>
    <n v="3811"/>
    <n v="1"/>
    <s v="Y"/>
    <x v="1"/>
    <n v="12"/>
    <n v="3"/>
    <n v="2"/>
    <n v="80"/>
    <n v="1"/>
    <n v="10"/>
    <n v="2"/>
    <x v="2"/>
    <x v="1"/>
    <n v="0"/>
    <n v="0"/>
    <n v="8"/>
  </r>
  <r>
    <n v="47"/>
    <x v="1"/>
    <s v="Non-Travel"/>
    <n v="543"/>
    <x v="0"/>
    <n v="2"/>
    <n v="4"/>
    <s v="Marketing"/>
    <n v="1"/>
    <n v="1731"/>
    <x v="1"/>
    <s v="Male"/>
    <n v="87"/>
    <n v="3"/>
    <n v="2"/>
    <x v="0"/>
    <x v="1"/>
    <s v="Married"/>
    <n v="4978"/>
    <n v="3536"/>
    <n v="7"/>
    <s v="Y"/>
    <x v="1"/>
    <n v="11"/>
    <n v="3"/>
    <n v="4"/>
    <n v="80"/>
    <n v="1"/>
    <n v="4"/>
    <n v="3"/>
    <x v="0"/>
    <x v="6"/>
    <n v="0"/>
    <n v="0"/>
    <n v="0"/>
  </r>
  <r>
    <n v="46"/>
    <x v="1"/>
    <s v="Travel_Rarely"/>
    <n v="1277"/>
    <x v="0"/>
    <n v="2"/>
    <n v="3"/>
    <s v="Life Sciences"/>
    <n v="1"/>
    <n v="1732"/>
    <x v="1"/>
    <s v="Male"/>
    <n v="74"/>
    <n v="3"/>
    <n v="3"/>
    <x v="0"/>
    <x v="0"/>
    <s v="Divorced"/>
    <n v="10368"/>
    <n v="5596"/>
    <n v="4"/>
    <s v="Y"/>
    <x v="0"/>
    <n v="12"/>
    <n v="3"/>
    <n v="2"/>
    <n v="80"/>
    <n v="1"/>
    <n v="13"/>
    <n v="5"/>
    <x v="2"/>
    <x v="1"/>
    <n v="6"/>
    <n v="0"/>
    <n v="3"/>
  </r>
  <r>
    <n v="36"/>
    <x v="0"/>
    <s v="Travel_Rarely"/>
    <n v="1456"/>
    <x v="0"/>
    <n v="13"/>
    <n v="5"/>
    <s v="Marketing"/>
    <n v="1"/>
    <n v="1733"/>
    <x v="0"/>
    <s v="Male"/>
    <n v="96"/>
    <n v="2"/>
    <n v="2"/>
    <x v="0"/>
    <x v="3"/>
    <s v="Divorced"/>
    <n v="6134"/>
    <n v="8658"/>
    <n v="5"/>
    <s v="Y"/>
    <x v="0"/>
    <n v="13"/>
    <n v="3"/>
    <n v="2"/>
    <n v="80"/>
    <n v="3"/>
    <n v="16"/>
    <n v="3"/>
    <x v="1"/>
    <x v="4"/>
    <n v="2"/>
    <n v="2"/>
    <n v="2"/>
  </r>
  <r>
    <n v="32"/>
    <x v="0"/>
    <s v="Travel_Rarely"/>
    <n v="964"/>
    <x v="0"/>
    <n v="1"/>
    <n v="2"/>
    <s v="Life Sciences"/>
    <n v="1"/>
    <n v="1734"/>
    <x v="3"/>
    <s v="Male"/>
    <n v="34"/>
    <n v="1"/>
    <n v="2"/>
    <x v="0"/>
    <x v="1"/>
    <s v="Single"/>
    <n v="6735"/>
    <n v="12147"/>
    <n v="6"/>
    <s v="Y"/>
    <x v="1"/>
    <n v="15"/>
    <n v="3"/>
    <n v="2"/>
    <n v="80"/>
    <n v="0"/>
    <n v="10"/>
    <n v="2"/>
    <x v="1"/>
    <x v="2"/>
    <n v="0"/>
    <n v="0"/>
    <n v="0"/>
  </r>
  <r>
    <n v="23"/>
    <x v="1"/>
    <s v="Travel_Rarely"/>
    <n v="160"/>
    <x v="1"/>
    <n v="4"/>
    <n v="1"/>
    <s v="Medical"/>
    <n v="1"/>
    <n v="1735"/>
    <x v="1"/>
    <s v="Female"/>
    <n v="51"/>
    <n v="3"/>
    <n v="1"/>
    <x v="2"/>
    <x v="1"/>
    <s v="Single"/>
    <n v="3295"/>
    <n v="12862"/>
    <n v="1"/>
    <s v="Y"/>
    <x v="1"/>
    <n v="13"/>
    <n v="3"/>
    <n v="3"/>
    <n v="80"/>
    <n v="0"/>
    <n v="3"/>
    <n v="3"/>
    <x v="0"/>
    <x v="11"/>
    <n v="2"/>
    <n v="1"/>
    <n v="2"/>
  </r>
  <r>
    <n v="31"/>
    <x v="1"/>
    <s v="Travel_Frequently"/>
    <n v="163"/>
    <x v="1"/>
    <n v="24"/>
    <n v="1"/>
    <s v="Technical Degree"/>
    <n v="1"/>
    <n v="1736"/>
    <x v="2"/>
    <s v="Female"/>
    <n v="30"/>
    <n v="3"/>
    <n v="2"/>
    <x v="3"/>
    <x v="0"/>
    <s v="Single"/>
    <n v="5238"/>
    <n v="6670"/>
    <n v="2"/>
    <s v="Y"/>
    <x v="1"/>
    <n v="20"/>
    <n v="4"/>
    <n v="4"/>
    <n v="80"/>
    <n v="0"/>
    <n v="9"/>
    <n v="3"/>
    <x v="2"/>
    <x v="8"/>
    <n v="4"/>
    <n v="1"/>
    <n v="4"/>
  </r>
  <r>
    <n v="39"/>
    <x v="1"/>
    <s v="Non-Travel"/>
    <n v="792"/>
    <x v="1"/>
    <n v="1"/>
    <n v="3"/>
    <s v="Life Sciences"/>
    <n v="1"/>
    <n v="1737"/>
    <x v="2"/>
    <s v="Male"/>
    <n v="77"/>
    <n v="3"/>
    <n v="2"/>
    <x v="2"/>
    <x v="0"/>
    <s v="Married"/>
    <n v="6472"/>
    <n v="8989"/>
    <n v="1"/>
    <s v="Y"/>
    <x v="0"/>
    <n v="15"/>
    <n v="3"/>
    <n v="4"/>
    <n v="80"/>
    <n v="1"/>
    <n v="9"/>
    <n v="2"/>
    <x v="1"/>
    <x v="7"/>
    <n v="8"/>
    <n v="5"/>
    <n v="8"/>
  </r>
  <r>
    <n v="32"/>
    <x v="1"/>
    <s v="Travel_Rarely"/>
    <n v="371"/>
    <x v="0"/>
    <n v="19"/>
    <n v="3"/>
    <s v="Life Sciences"/>
    <n v="1"/>
    <n v="1739"/>
    <x v="2"/>
    <s v="Male"/>
    <n v="80"/>
    <n v="1"/>
    <n v="3"/>
    <x v="0"/>
    <x v="2"/>
    <s v="Married"/>
    <n v="9610"/>
    <n v="3840"/>
    <n v="3"/>
    <s v="Y"/>
    <x v="1"/>
    <n v="13"/>
    <n v="3"/>
    <n v="3"/>
    <n v="80"/>
    <n v="1"/>
    <n v="10"/>
    <n v="2"/>
    <x v="0"/>
    <x v="9"/>
    <n v="3"/>
    <n v="0"/>
    <n v="2"/>
  </r>
  <r>
    <n v="40"/>
    <x v="1"/>
    <s v="Travel_Rarely"/>
    <n v="611"/>
    <x v="0"/>
    <n v="7"/>
    <n v="4"/>
    <s v="Medical"/>
    <n v="1"/>
    <n v="1740"/>
    <x v="0"/>
    <s v="Male"/>
    <n v="88"/>
    <n v="3"/>
    <n v="5"/>
    <x v="5"/>
    <x v="1"/>
    <s v="Single"/>
    <n v="19833"/>
    <n v="4349"/>
    <n v="1"/>
    <s v="Y"/>
    <x v="1"/>
    <n v="14"/>
    <n v="3"/>
    <n v="2"/>
    <n v="80"/>
    <n v="0"/>
    <n v="21"/>
    <n v="3"/>
    <x v="2"/>
    <x v="17"/>
    <n v="8"/>
    <n v="12"/>
    <n v="8"/>
  </r>
  <r>
    <n v="45"/>
    <x v="1"/>
    <s v="Travel_Rarely"/>
    <n v="176"/>
    <x v="2"/>
    <n v="4"/>
    <n v="3"/>
    <s v="Life Sciences"/>
    <n v="1"/>
    <n v="1744"/>
    <x v="1"/>
    <s v="Female"/>
    <n v="56"/>
    <n v="1"/>
    <n v="3"/>
    <x v="8"/>
    <x v="2"/>
    <s v="Married"/>
    <n v="9756"/>
    <n v="6595"/>
    <n v="4"/>
    <s v="Y"/>
    <x v="1"/>
    <n v="21"/>
    <n v="4"/>
    <n v="3"/>
    <n v="80"/>
    <n v="2"/>
    <n v="9"/>
    <n v="2"/>
    <x v="3"/>
    <x v="8"/>
    <n v="0"/>
    <n v="0"/>
    <n v="3"/>
  </r>
  <r>
    <n v="30"/>
    <x v="1"/>
    <s v="Travel_Frequently"/>
    <n v="1312"/>
    <x v="1"/>
    <n v="2"/>
    <n v="4"/>
    <s v="Technical Degree"/>
    <n v="1"/>
    <n v="1745"/>
    <x v="2"/>
    <s v="Female"/>
    <n v="78"/>
    <n v="2"/>
    <n v="1"/>
    <x v="1"/>
    <x v="3"/>
    <s v="Single"/>
    <n v="4968"/>
    <n v="26427"/>
    <n v="0"/>
    <s v="Y"/>
    <x v="1"/>
    <n v="16"/>
    <n v="3"/>
    <n v="4"/>
    <n v="80"/>
    <n v="0"/>
    <n v="10"/>
    <n v="2"/>
    <x v="1"/>
    <x v="7"/>
    <n v="7"/>
    <n v="0"/>
    <n v="7"/>
  </r>
  <r>
    <n v="24"/>
    <x v="1"/>
    <s v="Travel_Frequently"/>
    <n v="897"/>
    <x v="2"/>
    <n v="10"/>
    <n v="3"/>
    <s v="Medical"/>
    <n v="1"/>
    <n v="1746"/>
    <x v="3"/>
    <s v="Male"/>
    <n v="59"/>
    <n v="3"/>
    <n v="1"/>
    <x v="8"/>
    <x v="0"/>
    <s v="Married"/>
    <n v="2145"/>
    <n v="2097"/>
    <n v="0"/>
    <s v="Y"/>
    <x v="1"/>
    <n v="14"/>
    <n v="3"/>
    <n v="4"/>
    <n v="80"/>
    <n v="1"/>
    <n v="3"/>
    <n v="2"/>
    <x v="1"/>
    <x v="4"/>
    <n v="2"/>
    <n v="2"/>
    <n v="1"/>
  </r>
  <r>
    <n v="30"/>
    <x v="0"/>
    <s v="Travel_Frequently"/>
    <n v="600"/>
    <x v="2"/>
    <n v="8"/>
    <n v="3"/>
    <s v="Human Resources"/>
    <n v="1"/>
    <n v="1747"/>
    <x v="1"/>
    <s v="Female"/>
    <n v="66"/>
    <n v="2"/>
    <n v="1"/>
    <x v="8"/>
    <x v="0"/>
    <s v="Divorced"/>
    <n v="2180"/>
    <n v="9732"/>
    <n v="6"/>
    <s v="Y"/>
    <x v="1"/>
    <n v="11"/>
    <n v="3"/>
    <n v="3"/>
    <n v="80"/>
    <n v="1"/>
    <n v="6"/>
    <n v="0"/>
    <x v="2"/>
    <x v="9"/>
    <n v="2"/>
    <n v="1"/>
    <n v="2"/>
  </r>
  <r>
    <n v="31"/>
    <x v="1"/>
    <s v="Travel_Rarely"/>
    <n v="1003"/>
    <x v="0"/>
    <n v="5"/>
    <n v="3"/>
    <s v="Technical Degree"/>
    <n v="1"/>
    <n v="1749"/>
    <x v="3"/>
    <s v="Male"/>
    <n v="51"/>
    <n v="3"/>
    <n v="2"/>
    <x v="0"/>
    <x v="2"/>
    <s v="Married"/>
    <n v="8346"/>
    <n v="20943"/>
    <n v="1"/>
    <s v="Y"/>
    <x v="1"/>
    <n v="19"/>
    <n v="3"/>
    <n v="3"/>
    <n v="80"/>
    <n v="1"/>
    <n v="6"/>
    <n v="3"/>
    <x v="1"/>
    <x v="8"/>
    <n v="2"/>
    <n v="0"/>
    <n v="2"/>
  </r>
  <r>
    <n v="27"/>
    <x v="1"/>
    <s v="Travel_Rarely"/>
    <n v="1054"/>
    <x v="1"/>
    <n v="8"/>
    <n v="3"/>
    <s v="Medical"/>
    <n v="1"/>
    <n v="1751"/>
    <x v="1"/>
    <s v="Female"/>
    <n v="67"/>
    <n v="3"/>
    <n v="1"/>
    <x v="1"/>
    <x v="0"/>
    <s v="Single"/>
    <n v="3445"/>
    <n v="6152"/>
    <n v="1"/>
    <s v="Y"/>
    <x v="1"/>
    <n v="11"/>
    <n v="3"/>
    <n v="3"/>
    <n v="80"/>
    <n v="0"/>
    <n v="6"/>
    <n v="5"/>
    <x v="2"/>
    <x v="0"/>
    <n v="2"/>
    <n v="1"/>
    <n v="4"/>
  </r>
  <r>
    <n v="29"/>
    <x v="0"/>
    <s v="Travel_Rarely"/>
    <n v="428"/>
    <x v="0"/>
    <n v="9"/>
    <n v="3"/>
    <s v="Marketing"/>
    <n v="1"/>
    <n v="1752"/>
    <x v="0"/>
    <s v="Female"/>
    <n v="52"/>
    <n v="1"/>
    <n v="1"/>
    <x v="6"/>
    <x v="1"/>
    <s v="Single"/>
    <n v="2760"/>
    <n v="14630"/>
    <n v="1"/>
    <s v="Y"/>
    <x v="1"/>
    <n v="13"/>
    <n v="3"/>
    <n v="3"/>
    <n v="80"/>
    <n v="0"/>
    <n v="2"/>
    <n v="3"/>
    <x v="1"/>
    <x v="4"/>
    <n v="2"/>
    <n v="2"/>
    <n v="2"/>
  </r>
  <r>
    <n v="29"/>
    <x v="1"/>
    <s v="Travel_Frequently"/>
    <n v="461"/>
    <x v="1"/>
    <n v="1"/>
    <n v="3"/>
    <s v="Life Sciences"/>
    <n v="1"/>
    <n v="1753"/>
    <x v="2"/>
    <s v="Male"/>
    <n v="70"/>
    <n v="4"/>
    <n v="2"/>
    <x v="4"/>
    <x v="2"/>
    <s v="Single"/>
    <n v="6294"/>
    <n v="23060"/>
    <n v="8"/>
    <s v="Y"/>
    <x v="0"/>
    <n v="12"/>
    <n v="3"/>
    <n v="4"/>
    <n v="80"/>
    <n v="0"/>
    <n v="10"/>
    <n v="5"/>
    <x v="3"/>
    <x v="11"/>
    <n v="2"/>
    <n v="0"/>
    <n v="2"/>
  </r>
  <r>
    <n v="30"/>
    <x v="1"/>
    <s v="Travel_Rarely"/>
    <n v="979"/>
    <x v="0"/>
    <n v="15"/>
    <n v="2"/>
    <s v="Marketing"/>
    <n v="1"/>
    <n v="1754"/>
    <x v="1"/>
    <s v="Male"/>
    <n v="94"/>
    <n v="2"/>
    <n v="3"/>
    <x v="0"/>
    <x v="3"/>
    <s v="Divorced"/>
    <n v="7140"/>
    <n v="3088"/>
    <n v="2"/>
    <s v="Y"/>
    <x v="1"/>
    <n v="11"/>
    <n v="3"/>
    <n v="1"/>
    <n v="80"/>
    <n v="1"/>
    <n v="12"/>
    <n v="2"/>
    <x v="1"/>
    <x v="5"/>
    <n v="7"/>
    <n v="1"/>
    <n v="7"/>
  </r>
  <r>
    <n v="34"/>
    <x v="1"/>
    <s v="Travel_Rarely"/>
    <n v="181"/>
    <x v="1"/>
    <n v="2"/>
    <n v="4"/>
    <s v="Medical"/>
    <n v="1"/>
    <n v="1755"/>
    <x v="2"/>
    <s v="Male"/>
    <n v="97"/>
    <n v="4"/>
    <n v="1"/>
    <x v="1"/>
    <x v="0"/>
    <s v="Married"/>
    <n v="2932"/>
    <n v="5586"/>
    <n v="0"/>
    <s v="Y"/>
    <x v="0"/>
    <n v="14"/>
    <n v="3"/>
    <n v="1"/>
    <n v="80"/>
    <n v="3"/>
    <n v="6"/>
    <n v="3"/>
    <x v="1"/>
    <x v="8"/>
    <n v="0"/>
    <n v="1"/>
    <n v="2"/>
  </r>
  <r>
    <n v="33"/>
    <x v="1"/>
    <s v="Non-Travel"/>
    <n v="1283"/>
    <x v="0"/>
    <n v="2"/>
    <n v="3"/>
    <s v="Marketing"/>
    <n v="1"/>
    <n v="1756"/>
    <x v="2"/>
    <s v="Female"/>
    <n v="62"/>
    <n v="3"/>
    <n v="2"/>
    <x v="0"/>
    <x v="1"/>
    <s v="Single"/>
    <n v="5147"/>
    <n v="10697"/>
    <n v="8"/>
    <s v="Y"/>
    <x v="1"/>
    <n v="15"/>
    <n v="3"/>
    <n v="4"/>
    <n v="80"/>
    <n v="0"/>
    <n v="13"/>
    <n v="2"/>
    <x v="2"/>
    <x v="19"/>
    <n v="7"/>
    <n v="1"/>
    <n v="7"/>
  </r>
  <r>
    <n v="49"/>
    <x v="1"/>
    <s v="Travel_Rarely"/>
    <n v="1313"/>
    <x v="0"/>
    <n v="11"/>
    <n v="4"/>
    <s v="Marketing"/>
    <n v="1"/>
    <n v="1757"/>
    <x v="2"/>
    <s v="Female"/>
    <n v="80"/>
    <n v="3"/>
    <n v="2"/>
    <x v="0"/>
    <x v="0"/>
    <s v="Single"/>
    <n v="4507"/>
    <n v="8191"/>
    <n v="3"/>
    <s v="Y"/>
    <x v="1"/>
    <n v="12"/>
    <n v="3"/>
    <n v="3"/>
    <n v="80"/>
    <n v="0"/>
    <n v="8"/>
    <n v="1"/>
    <x v="3"/>
    <x v="8"/>
    <n v="1"/>
    <n v="0"/>
    <n v="4"/>
  </r>
  <r>
    <n v="33"/>
    <x v="0"/>
    <s v="Travel_Rarely"/>
    <n v="211"/>
    <x v="0"/>
    <n v="16"/>
    <n v="3"/>
    <s v="Life Sciences"/>
    <n v="1"/>
    <n v="1758"/>
    <x v="3"/>
    <s v="Female"/>
    <n v="74"/>
    <n v="3"/>
    <n v="3"/>
    <x v="0"/>
    <x v="3"/>
    <s v="Single"/>
    <n v="8564"/>
    <n v="10092"/>
    <n v="2"/>
    <s v="Y"/>
    <x v="0"/>
    <n v="20"/>
    <n v="4"/>
    <n v="3"/>
    <n v="80"/>
    <n v="0"/>
    <n v="11"/>
    <n v="2"/>
    <x v="2"/>
    <x v="2"/>
    <n v="0"/>
    <n v="0"/>
    <n v="0"/>
  </r>
  <r>
    <n v="38"/>
    <x v="1"/>
    <s v="Travel_Frequently"/>
    <n v="594"/>
    <x v="1"/>
    <n v="2"/>
    <n v="2"/>
    <s v="Medical"/>
    <n v="1"/>
    <n v="1760"/>
    <x v="1"/>
    <s v="Female"/>
    <n v="75"/>
    <n v="2"/>
    <n v="1"/>
    <x v="2"/>
    <x v="1"/>
    <s v="Married"/>
    <n v="2468"/>
    <n v="15963"/>
    <n v="4"/>
    <s v="Y"/>
    <x v="1"/>
    <n v="14"/>
    <n v="3"/>
    <n v="2"/>
    <n v="80"/>
    <n v="1"/>
    <n v="9"/>
    <n v="4"/>
    <x v="2"/>
    <x v="0"/>
    <n v="1"/>
    <n v="0"/>
    <n v="5"/>
  </r>
  <r>
    <n v="31"/>
    <x v="0"/>
    <s v="Travel_Rarely"/>
    <n v="1079"/>
    <x v="0"/>
    <n v="16"/>
    <n v="4"/>
    <s v="Marketing"/>
    <n v="1"/>
    <n v="1761"/>
    <x v="3"/>
    <s v="Male"/>
    <n v="70"/>
    <n v="3"/>
    <n v="3"/>
    <x v="0"/>
    <x v="2"/>
    <s v="Married"/>
    <n v="8161"/>
    <n v="19002"/>
    <n v="2"/>
    <s v="Y"/>
    <x v="1"/>
    <n v="13"/>
    <n v="3"/>
    <n v="1"/>
    <n v="80"/>
    <n v="3"/>
    <n v="10"/>
    <n v="2"/>
    <x v="1"/>
    <x v="6"/>
    <n v="0"/>
    <n v="0"/>
    <n v="0"/>
  </r>
  <r>
    <n v="29"/>
    <x v="1"/>
    <s v="Travel_Rarely"/>
    <n v="590"/>
    <x v="1"/>
    <n v="4"/>
    <n v="3"/>
    <s v="Technical Degree"/>
    <n v="1"/>
    <n v="1762"/>
    <x v="2"/>
    <s v="Female"/>
    <n v="91"/>
    <n v="2"/>
    <n v="1"/>
    <x v="1"/>
    <x v="3"/>
    <s v="Divorced"/>
    <n v="2109"/>
    <n v="10007"/>
    <n v="1"/>
    <s v="Y"/>
    <x v="1"/>
    <n v="13"/>
    <n v="3"/>
    <n v="3"/>
    <n v="80"/>
    <n v="1"/>
    <n v="1"/>
    <n v="2"/>
    <x v="1"/>
    <x v="6"/>
    <n v="0"/>
    <n v="0"/>
    <n v="0"/>
  </r>
  <r>
    <n v="30"/>
    <x v="1"/>
    <s v="Travel_Rarely"/>
    <n v="305"/>
    <x v="1"/>
    <n v="16"/>
    <n v="3"/>
    <s v="Life Sciences"/>
    <n v="1"/>
    <n v="1763"/>
    <x v="1"/>
    <s v="Male"/>
    <n v="58"/>
    <n v="4"/>
    <n v="2"/>
    <x v="4"/>
    <x v="2"/>
    <s v="Married"/>
    <n v="5294"/>
    <n v="9128"/>
    <n v="3"/>
    <s v="Y"/>
    <x v="1"/>
    <n v="16"/>
    <n v="3"/>
    <n v="3"/>
    <n v="80"/>
    <n v="1"/>
    <n v="10"/>
    <n v="3"/>
    <x v="1"/>
    <x v="5"/>
    <n v="0"/>
    <n v="1"/>
    <n v="7"/>
  </r>
  <r>
    <n v="32"/>
    <x v="1"/>
    <s v="Non-Travel"/>
    <n v="953"/>
    <x v="1"/>
    <n v="5"/>
    <n v="4"/>
    <s v="Technical Degree"/>
    <n v="1"/>
    <n v="1764"/>
    <x v="0"/>
    <s v="Male"/>
    <n v="65"/>
    <n v="3"/>
    <n v="1"/>
    <x v="1"/>
    <x v="1"/>
    <s v="Single"/>
    <n v="2718"/>
    <n v="17674"/>
    <n v="2"/>
    <s v="Y"/>
    <x v="1"/>
    <n v="14"/>
    <n v="3"/>
    <n v="2"/>
    <n v="80"/>
    <n v="0"/>
    <n v="12"/>
    <n v="3"/>
    <x v="1"/>
    <x v="5"/>
    <n v="7"/>
    <n v="0"/>
    <n v="7"/>
  </r>
  <r>
    <n v="38"/>
    <x v="1"/>
    <s v="Travel_Rarely"/>
    <n v="833"/>
    <x v="1"/>
    <n v="18"/>
    <n v="3"/>
    <s v="Medical"/>
    <n v="1"/>
    <n v="1766"/>
    <x v="0"/>
    <s v="Male"/>
    <n v="60"/>
    <n v="1"/>
    <n v="2"/>
    <x v="4"/>
    <x v="0"/>
    <s v="Married"/>
    <n v="5811"/>
    <n v="24539"/>
    <n v="3"/>
    <s v="Y"/>
    <x v="0"/>
    <n v="16"/>
    <n v="3"/>
    <n v="3"/>
    <n v="80"/>
    <n v="1"/>
    <n v="15"/>
    <n v="2"/>
    <x v="1"/>
    <x v="6"/>
    <n v="0"/>
    <n v="1"/>
    <n v="0"/>
  </r>
  <r>
    <n v="43"/>
    <x v="0"/>
    <s v="Travel_Frequently"/>
    <n v="807"/>
    <x v="1"/>
    <n v="17"/>
    <n v="3"/>
    <s v="Technical Degree"/>
    <n v="1"/>
    <n v="1767"/>
    <x v="1"/>
    <s v="Male"/>
    <n v="38"/>
    <n v="2"/>
    <n v="1"/>
    <x v="1"/>
    <x v="2"/>
    <s v="Married"/>
    <n v="2437"/>
    <n v="15587"/>
    <n v="9"/>
    <s v="Y"/>
    <x v="0"/>
    <n v="16"/>
    <n v="3"/>
    <n v="4"/>
    <n v="80"/>
    <n v="1"/>
    <n v="6"/>
    <n v="4"/>
    <x v="1"/>
    <x v="6"/>
    <n v="0"/>
    <n v="0"/>
    <n v="0"/>
  </r>
  <r>
    <n v="42"/>
    <x v="1"/>
    <s v="Travel_Rarely"/>
    <n v="855"/>
    <x v="1"/>
    <n v="12"/>
    <n v="3"/>
    <s v="Medical"/>
    <n v="1"/>
    <n v="1768"/>
    <x v="0"/>
    <s v="Male"/>
    <n v="57"/>
    <n v="3"/>
    <n v="1"/>
    <x v="2"/>
    <x v="1"/>
    <s v="Divorced"/>
    <n v="2766"/>
    <n v="8952"/>
    <n v="8"/>
    <s v="Y"/>
    <x v="1"/>
    <n v="22"/>
    <n v="4"/>
    <n v="2"/>
    <n v="80"/>
    <n v="3"/>
    <n v="7"/>
    <n v="6"/>
    <x v="2"/>
    <x v="8"/>
    <n v="3"/>
    <n v="0"/>
    <n v="4"/>
  </r>
  <r>
    <n v="55"/>
    <x v="1"/>
    <s v="Travel_Rarely"/>
    <n v="478"/>
    <x v="1"/>
    <n v="2"/>
    <n v="3"/>
    <s v="Medical"/>
    <n v="1"/>
    <n v="1770"/>
    <x v="1"/>
    <s v="Male"/>
    <n v="60"/>
    <n v="2"/>
    <n v="5"/>
    <x v="7"/>
    <x v="3"/>
    <s v="Married"/>
    <n v="19038"/>
    <n v="19805"/>
    <n v="8"/>
    <s v="Y"/>
    <x v="1"/>
    <n v="12"/>
    <n v="3"/>
    <n v="2"/>
    <n v="80"/>
    <n v="3"/>
    <n v="34"/>
    <n v="2"/>
    <x v="1"/>
    <x v="6"/>
    <n v="0"/>
    <n v="0"/>
    <n v="0"/>
  </r>
  <r>
    <n v="33"/>
    <x v="1"/>
    <s v="Non-Travel"/>
    <n v="775"/>
    <x v="1"/>
    <n v="4"/>
    <n v="3"/>
    <s v="Technical Degree"/>
    <n v="1"/>
    <n v="1771"/>
    <x v="2"/>
    <s v="Male"/>
    <n v="90"/>
    <n v="3"/>
    <n v="2"/>
    <x v="1"/>
    <x v="1"/>
    <s v="Divorced"/>
    <n v="3055"/>
    <n v="6194"/>
    <n v="5"/>
    <s v="Y"/>
    <x v="1"/>
    <n v="15"/>
    <n v="3"/>
    <n v="4"/>
    <n v="80"/>
    <n v="2"/>
    <n v="11"/>
    <n v="2"/>
    <x v="2"/>
    <x v="7"/>
    <n v="8"/>
    <n v="1"/>
    <n v="7"/>
  </r>
  <r>
    <n v="41"/>
    <x v="1"/>
    <s v="Travel_Rarely"/>
    <n v="548"/>
    <x v="1"/>
    <n v="9"/>
    <n v="4"/>
    <s v="Life Sciences"/>
    <n v="1"/>
    <n v="1772"/>
    <x v="1"/>
    <s v="Male"/>
    <n v="94"/>
    <n v="3"/>
    <n v="1"/>
    <x v="2"/>
    <x v="3"/>
    <s v="Divorced"/>
    <n v="2289"/>
    <n v="20520"/>
    <n v="1"/>
    <s v="Y"/>
    <x v="1"/>
    <n v="20"/>
    <n v="4"/>
    <n v="2"/>
    <n v="80"/>
    <n v="2"/>
    <n v="5"/>
    <n v="2"/>
    <x v="1"/>
    <x v="8"/>
    <n v="3"/>
    <n v="0"/>
    <n v="4"/>
  </r>
  <r>
    <n v="34"/>
    <x v="1"/>
    <s v="Non-Travel"/>
    <n v="1375"/>
    <x v="0"/>
    <n v="10"/>
    <n v="3"/>
    <s v="Life Sciences"/>
    <n v="1"/>
    <n v="1774"/>
    <x v="2"/>
    <s v="Male"/>
    <n v="87"/>
    <n v="3"/>
    <n v="2"/>
    <x v="0"/>
    <x v="2"/>
    <s v="Divorced"/>
    <n v="4001"/>
    <n v="12313"/>
    <n v="1"/>
    <s v="Y"/>
    <x v="0"/>
    <n v="14"/>
    <n v="3"/>
    <n v="3"/>
    <n v="80"/>
    <n v="1"/>
    <n v="15"/>
    <n v="3"/>
    <x v="1"/>
    <x v="15"/>
    <n v="14"/>
    <n v="0"/>
    <n v="7"/>
  </r>
  <r>
    <n v="53"/>
    <x v="1"/>
    <s v="Non-Travel"/>
    <n v="661"/>
    <x v="1"/>
    <n v="1"/>
    <n v="4"/>
    <s v="Medical"/>
    <n v="1"/>
    <n v="1775"/>
    <x v="3"/>
    <s v="Female"/>
    <n v="60"/>
    <n v="2"/>
    <n v="4"/>
    <x v="3"/>
    <x v="2"/>
    <s v="Married"/>
    <n v="12965"/>
    <n v="22308"/>
    <n v="4"/>
    <s v="Y"/>
    <x v="0"/>
    <n v="20"/>
    <n v="4"/>
    <n v="4"/>
    <n v="80"/>
    <n v="3"/>
    <n v="27"/>
    <n v="2"/>
    <x v="2"/>
    <x v="11"/>
    <n v="2"/>
    <n v="0"/>
    <n v="2"/>
  </r>
  <r>
    <n v="43"/>
    <x v="1"/>
    <s v="Travel_Rarely"/>
    <n v="244"/>
    <x v="2"/>
    <n v="2"/>
    <n v="3"/>
    <s v="Life Sciences"/>
    <n v="1"/>
    <n v="1778"/>
    <x v="0"/>
    <s v="Male"/>
    <n v="97"/>
    <n v="3"/>
    <n v="1"/>
    <x v="8"/>
    <x v="0"/>
    <s v="Single"/>
    <n v="3539"/>
    <n v="5033"/>
    <n v="0"/>
    <s v="Y"/>
    <x v="1"/>
    <n v="13"/>
    <n v="3"/>
    <n v="2"/>
    <n v="80"/>
    <n v="0"/>
    <n v="10"/>
    <n v="5"/>
    <x v="1"/>
    <x v="7"/>
    <n v="7"/>
    <n v="1"/>
    <n v="8"/>
  </r>
  <r>
    <n v="34"/>
    <x v="1"/>
    <s v="Travel_Rarely"/>
    <n v="511"/>
    <x v="0"/>
    <n v="3"/>
    <n v="2"/>
    <s v="Life Sciences"/>
    <n v="1"/>
    <n v="1779"/>
    <x v="2"/>
    <s v="Female"/>
    <n v="32"/>
    <n v="1"/>
    <n v="2"/>
    <x v="0"/>
    <x v="0"/>
    <s v="Single"/>
    <n v="6029"/>
    <n v="25353"/>
    <n v="5"/>
    <s v="Y"/>
    <x v="1"/>
    <n v="12"/>
    <n v="3"/>
    <n v="1"/>
    <n v="80"/>
    <n v="0"/>
    <n v="6"/>
    <n v="3"/>
    <x v="1"/>
    <x v="4"/>
    <n v="2"/>
    <n v="2"/>
    <n v="2"/>
  </r>
  <r>
    <n v="21"/>
    <x v="0"/>
    <s v="Travel_Rarely"/>
    <n v="337"/>
    <x v="0"/>
    <n v="7"/>
    <n v="1"/>
    <s v="Marketing"/>
    <n v="1"/>
    <n v="1780"/>
    <x v="0"/>
    <s v="Male"/>
    <n v="31"/>
    <n v="3"/>
    <n v="1"/>
    <x v="6"/>
    <x v="1"/>
    <s v="Single"/>
    <n v="2679"/>
    <n v="4567"/>
    <n v="1"/>
    <s v="Y"/>
    <x v="1"/>
    <n v="13"/>
    <n v="3"/>
    <n v="2"/>
    <n v="80"/>
    <n v="0"/>
    <n v="1"/>
    <n v="3"/>
    <x v="1"/>
    <x v="6"/>
    <n v="0"/>
    <n v="1"/>
    <n v="0"/>
  </r>
  <r>
    <n v="38"/>
    <x v="1"/>
    <s v="Travel_Rarely"/>
    <n v="1153"/>
    <x v="1"/>
    <n v="6"/>
    <n v="2"/>
    <s v="Other"/>
    <n v="1"/>
    <n v="1782"/>
    <x v="2"/>
    <s v="Female"/>
    <n v="40"/>
    <n v="2"/>
    <n v="1"/>
    <x v="2"/>
    <x v="2"/>
    <s v="Married"/>
    <n v="3702"/>
    <n v="16376"/>
    <n v="1"/>
    <s v="Y"/>
    <x v="1"/>
    <n v="11"/>
    <n v="3"/>
    <n v="2"/>
    <n v="80"/>
    <n v="1"/>
    <n v="5"/>
    <n v="3"/>
    <x v="1"/>
    <x v="8"/>
    <n v="4"/>
    <n v="0"/>
    <n v="4"/>
  </r>
  <r>
    <n v="22"/>
    <x v="0"/>
    <s v="Travel_Rarely"/>
    <n v="1294"/>
    <x v="1"/>
    <n v="8"/>
    <n v="1"/>
    <s v="Medical"/>
    <n v="1"/>
    <n v="1783"/>
    <x v="1"/>
    <s v="Female"/>
    <n v="79"/>
    <n v="3"/>
    <n v="1"/>
    <x v="2"/>
    <x v="3"/>
    <s v="Married"/>
    <n v="2398"/>
    <n v="15999"/>
    <n v="1"/>
    <s v="Y"/>
    <x v="0"/>
    <n v="17"/>
    <n v="3"/>
    <n v="3"/>
    <n v="80"/>
    <n v="0"/>
    <n v="1"/>
    <n v="6"/>
    <x v="1"/>
    <x v="6"/>
    <n v="0"/>
    <n v="0"/>
    <n v="0"/>
  </r>
  <r>
    <n v="31"/>
    <x v="1"/>
    <s v="Travel_Rarely"/>
    <n v="196"/>
    <x v="0"/>
    <n v="29"/>
    <n v="4"/>
    <s v="Marketing"/>
    <n v="1"/>
    <n v="1784"/>
    <x v="3"/>
    <s v="Female"/>
    <n v="91"/>
    <n v="2"/>
    <n v="2"/>
    <x v="0"/>
    <x v="0"/>
    <s v="Married"/>
    <n v="5468"/>
    <n v="13402"/>
    <n v="1"/>
    <s v="Y"/>
    <x v="1"/>
    <n v="14"/>
    <n v="3"/>
    <n v="1"/>
    <n v="80"/>
    <n v="2"/>
    <n v="13"/>
    <n v="3"/>
    <x v="1"/>
    <x v="12"/>
    <n v="7"/>
    <n v="5"/>
    <n v="7"/>
  </r>
  <r>
    <n v="51"/>
    <x v="1"/>
    <s v="Travel_Rarely"/>
    <n v="942"/>
    <x v="1"/>
    <n v="3"/>
    <n v="3"/>
    <s v="Technical Degree"/>
    <n v="1"/>
    <n v="1786"/>
    <x v="3"/>
    <s v="Female"/>
    <n v="53"/>
    <n v="3"/>
    <n v="3"/>
    <x v="5"/>
    <x v="2"/>
    <s v="Married"/>
    <n v="13116"/>
    <n v="22984"/>
    <n v="2"/>
    <s v="Y"/>
    <x v="1"/>
    <n v="11"/>
    <n v="3"/>
    <n v="4"/>
    <n v="80"/>
    <n v="0"/>
    <n v="15"/>
    <n v="2"/>
    <x v="1"/>
    <x v="4"/>
    <n v="2"/>
    <n v="2"/>
    <n v="2"/>
  </r>
  <r>
    <n v="37"/>
    <x v="1"/>
    <s v="Travel_Rarely"/>
    <n v="589"/>
    <x v="0"/>
    <n v="9"/>
    <n v="2"/>
    <s v="Marketing"/>
    <n v="1"/>
    <n v="1787"/>
    <x v="0"/>
    <s v="Male"/>
    <n v="46"/>
    <n v="2"/>
    <n v="2"/>
    <x v="0"/>
    <x v="1"/>
    <s v="Married"/>
    <n v="4189"/>
    <n v="8800"/>
    <n v="1"/>
    <s v="Y"/>
    <x v="1"/>
    <n v="14"/>
    <n v="3"/>
    <n v="1"/>
    <n v="80"/>
    <n v="2"/>
    <n v="5"/>
    <n v="2"/>
    <x v="1"/>
    <x v="8"/>
    <n v="2"/>
    <n v="0"/>
    <n v="3"/>
  </r>
  <r>
    <n v="46"/>
    <x v="1"/>
    <s v="Travel_Rarely"/>
    <n v="734"/>
    <x v="1"/>
    <n v="2"/>
    <n v="4"/>
    <s v="Medical"/>
    <n v="1"/>
    <n v="1789"/>
    <x v="1"/>
    <s v="Male"/>
    <n v="46"/>
    <n v="3"/>
    <n v="5"/>
    <x v="7"/>
    <x v="0"/>
    <s v="Divorced"/>
    <n v="19328"/>
    <n v="14218"/>
    <n v="7"/>
    <s v="Y"/>
    <x v="0"/>
    <n v="17"/>
    <n v="3"/>
    <n v="3"/>
    <n v="80"/>
    <n v="1"/>
    <n v="24"/>
    <n v="3"/>
    <x v="1"/>
    <x v="4"/>
    <n v="1"/>
    <n v="2"/>
    <n v="2"/>
  </r>
  <r>
    <n v="36"/>
    <x v="1"/>
    <s v="Travel_Rarely"/>
    <n v="1383"/>
    <x v="1"/>
    <n v="10"/>
    <n v="3"/>
    <s v="Life Sciences"/>
    <n v="1"/>
    <n v="1790"/>
    <x v="2"/>
    <s v="Male"/>
    <n v="90"/>
    <n v="3"/>
    <n v="3"/>
    <x v="4"/>
    <x v="3"/>
    <s v="Married"/>
    <n v="8321"/>
    <n v="25949"/>
    <n v="7"/>
    <s v="Y"/>
    <x v="0"/>
    <n v="13"/>
    <n v="3"/>
    <n v="4"/>
    <n v="80"/>
    <n v="1"/>
    <n v="15"/>
    <n v="1"/>
    <x v="1"/>
    <x v="12"/>
    <n v="8"/>
    <n v="5"/>
    <n v="7"/>
  </r>
  <r>
    <n v="44"/>
    <x v="0"/>
    <s v="Travel_Frequently"/>
    <n v="429"/>
    <x v="1"/>
    <n v="1"/>
    <n v="2"/>
    <s v="Medical"/>
    <n v="1"/>
    <n v="1792"/>
    <x v="1"/>
    <s v="Male"/>
    <n v="99"/>
    <n v="3"/>
    <n v="1"/>
    <x v="1"/>
    <x v="1"/>
    <s v="Divorced"/>
    <n v="2342"/>
    <n v="11092"/>
    <n v="1"/>
    <s v="Y"/>
    <x v="0"/>
    <n v="12"/>
    <n v="3"/>
    <n v="3"/>
    <n v="80"/>
    <n v="3"/>
    <n v="6"/>
    <n v="2"/>
    <x v="2"/>
    <x v="8"/>
    <n v="3"/>
    <n v="2"/>
    <n v="3"/>
  </r>
  <r>
    <n v="37"/>
    <x v="1"/>
    <s v="Travel_Rarely"/>
    <n v="1239"/>
    <x v="2"/>
    <n v="8"/>
    <n v="2"/>
    <s v="Other"/>
    <n v="1"/>
    <n v="1794"/>
    <x v="1"/>
    <s v="Male"/>
    <n v="89"/>
    <n v="3"/>
    <n v="2"/>
    <x v="8"/>
    <x v="1"/>
    <s v="Divorced"/>
    <n v="4071"/>
    <n v="12832"/>
    <n v="2"/>
    <s v="Y"/>
    <x v="1"/>
    <n v="13"/>
    <n v="3"/>
    <n v="3"/>
    <n v="80"/>
    <n v="0"/>
    <n v="19"/>
    <n v="4"/>
    <x v="2"/>
    <x v="1"/>
    <n v="0"/>
    <n v="4"/>
    <n v="7"/>
  </r>
  <r>
    <n v="35"/>
    <x v="0"/>
    <s v="Travel_Rarely"/>
    <n v="303"/>
    <x v="0"/>
    <n v="27"/>
    <n v="3"/>
    <s v="Life Sciences"/>
    <n v="1"/>
    <n v="1797"/>
    <x v="1"/>
    <s v="Male"/>
    <n v="84"/>
    <n v="3"/>
    <n v="2"/>
    <x v="0"/>
    <x v="0"/>
    <s v="Single"/>
    <n v="5813"/>
    <n v="13492"/>
    <n v="1"/>
    <s v="Y"/>
    <x v="0"/>
    <n v="18"/>
    <n v="3"/>
    <n v="4"/>
    <n v="80"/>
    <n v="0"/>
    <n v="10"/>
    <n v="2"/>
    <x v="1"/>
    <x v="1"/>
    <n v="7"/>
    <n v="7"/>
    <n v="7"/>
  </r>
  <r>
    <n v="33"/>
    <x v="1"/>
    <s v="Travel_Rarely"/>
    <n v="867"/>
    <x v="1"/>
    <n v="8"/>
    <n v="4"/>
    <s v="Life Sciences"/>
    <n v="1"/>
    <n v="1798"/>
    <x v="2"/>
    <s v="Male"/>
    <n v="90"/>
    <n v="4"/>
    <n v="1"/>
    <x v="1"/>
    <x v="3"/>
    <s v="Married"/>
    <n v="3143"/>
    <n v="6076"/>
    <n v="6"/>
    <s v="Y"/>
    <x v="1"/>
    <n v="19"/>
    <n v="3"/>
    <n v="2"/>
    <n v="80"/>
    <n v="1"/>
    <n v="14"/>
    <n v="1"/>
    <x v="1"/>
    <x v="1"/>
    <n v="8"/>
    <n v="7"/>
    <n v="6"/>
  </r>
  <r>
    <n v="28"/>
    <x v="1"/>
    <s v="Travel_Rarely"/>
    <n v="1181"/>
    <x v="1"/>
    <n v="1"/>
    <n v="3"/>
    <s v="Life Sciences"/>
    <n v="1"/>
    <n v="1799"/>
    <x v="1"/>
    <s v="Male"/>
    <n v="82"/>
    <n v="3"/>
    <n v="1"/>
    <x v="1"/>
    <x v="0"/>
    <s v="Married"/>
    <n v="2044"/>
    <n v="5531"/>
    <n v="1"/>
    <s v="Y"/>
    <x v="1"/>
    <n v="11"/>
    <n v="3"/>
    <n v="3"/>
    <n v="80"/>
    <n v="1"/>
    <n v="5"/>
    <n v="6"/>
    <x v="3"/>
    <x v="8"/>
    <n v="3"/>
    <n v="0"/>
    <n v="3"/>
  </r>
  <r>
    <n v="39"/>
    <x v="1"/>
    <s v="Travel_Rarely"/>
    <n v="1253"/>
    <x v="1"/>
    <n v="10"/>
    <n v="1"/>
    <s v="Medical"/>
    <n v="1"/>
    <n v="1800"/>
    <x v="1"/>
    <s v="Male"/>
    <n v="65"/>
    <n v="3"/>
    <n v="3"/>
    <x v="7"/>
    <x v="2"/>
    <s v="Single"/>
    <n v="13464"/>
    <n v="7914"/>
    <n v="7"/>
    <s v="Y"/>
    <x v="1"/>
    <n v="21"/>
    <n v="4"/>
    <n v="3"/>
    <n v="80"/>
    <n v="0"/>
    <n v="9"/>
    <n v="3"/>
    <x v="1"/>
    <x v="9"/>
    <n v="3"/>
    <n v="2"/>
    <n v="2"/>
  </r>
  <r>
    <n v="46"/>
    <x v="1"/>
    <s v="Non-Travel"/>
    <n v="849"/>
    <x v="0"/>
    <n v="26"/>
    <n v="2"/>
    <s v="Life Sciences"/>
    <n v="1"/>
    <n v="1801"/>
    <x v="0"/>
    <s v="Male"/>
    <n v="98"/>
    <n v="2"/>
    <n v="2"/>
    <x v="0"/>
    <x v="1"/>
    <s v="Single"/>
    <n v="7991"/>
    <n v="25166"/>
    <n v="8"/>
    <s v="Y"/>
    <x v="1"/>
    <n v="15"/>
    <n v="3"/>
    <n v="3"/>
    <n v="80"/>
    <n v="0"/>
    <n v="6"/>
    <n v="3"/>
    <x v="1"/>
    <x v="4"/>
    <n v="2"/>
    <n v="2"/>
    <n v="2"/>
  </r>
  <r>
    <n v="40"/>
    <x v="1"/>
    <s v="Travel_Rarely"/>
    <n v="616"/>
    <x v="1"/>
    <n v="2"/>
    <n v="2"/>
    <s v="Life Sciences"/>
    <n v="1"/>
    <n v="1802"/>
    <x v="1"/>
    <s v="Female"/>
    <n v="99"/>
    <n v="3"/>
    <n v="1"/>
    <x v="2"/>
    <x v="3"/>
    <s v="Married"/>
    <n v="3377"/>
    <n v="25605"/>
    <n v="4"/>
    <s v="Y"/>
    <x v="1"/>
    <n v="17"/>
    <n v="3"/>
    <n v="4"/>
    <n v="80"/>
    <n v="1"/>
    <n v="7"/>
    <n v="5"/>
    <x v="2"/>
    <x v="9"/>
    <n v="3"/>
    <n v="0"/>
    <n v="2"/>
  </r>
  <r>
    <n v="42"/>
    <x v="1"/>
    <s v="Travel_Rarely"/>
    <n v="1128"/>
    <x v="1"/>
    <n v="13"/>
    <n v="3"/>
    <s v="Medical"/>
    <n v="1"/>
    <n v="1803"/>
    <x v="0"/>
    <s v="Male"/>
    <n v="95"/>
    <n v="4"/>
    <n v="2"/>
    <x v="4"/>
    <x v="3"/>
    <s v="Married"/>
    <n v="5538"/>
    <n v="5696"/>
    <n v="5"/>
    <s v="Y"/>
    <x v="1"/>
    <n v="18"/>
    <n v="3"/>
    <n v="3"/>
    <n v="80"/>
    <n v="2"/>
    <n v="10"/>
    <n v="2"/>
    <x v="2"/>
    <x v="2"/>
    <n v="0"/>
    <n v="0"/>
    <n v="0"/>
  </r>
  <r>
    <n v="35"/>
    <x v="1"/>
    <s v="Non-Travel"/>
    <n v="1180"/>
    <x v="1"/>
    <n v="2"/>
    <n v="2"/>
    <s v="Medical"/>
    <n v="1"/>
    <n v="1804"/>
    <x v="0"/>
    <s v="Male"/>
    <n v="90"/>
    <n v="3"/>
    <n v="2"/>
    <x v="3"/>
    <x v="0"/>
    <s v="Divorced"/>
    <n v="5762"/>
    <n v="24442"/>
    <n v="2"/>
    <s v="Y"/>
    <x v="1"/>
    <n v="14"/>
    <n v="3"/>
    <n v="3"/>
    <n v="80"/>
    <n v="1"/>
    <n v="15"/>
    <n v="6"/>
    <x v="1"/>
    <x v="5"/>
    <n v="7"/>
    <n v="1"/>
    <n v="7"/>
  </r>
  <r>
    <n v="38"/>
    <x v="1"/>
    <s v="Non-Travel"/>
    <n v="1336"/>
    <x v="2"/>
    <n v="2"/>
    <n v="3"/>
    <s v="Human Resources"/>
    <n v="1"/>
    <n v="1805"/>
    <x v="3"/>
    <s v="Male"/>
    <n v="100"/>
    <n v="3"/>
    <n v="1"/>
    <x v="8"/>
    <x v="1"/>
    <s v="Divorced"/>
    <n v="2592"/>
    <n v="7129"/>
    <n v="5"/>
    <s v="Y"/>
    <x v="1"/>
    <n v="13"/>
    <n v="3"/>
    <n v="4"/>
    <n v="80"/>
    <n v="3"/>
    <n v="13"/>
    <n v="3"/>
    <x v="1"/>
    <x v="19"/>
    <n v="10"/>
    <n v="3"/>
    <n v="8"/>
  </r>
  <r>
    <n v="34"/>
    <x v="0"/>
    <s v="Travel_Frequently"/>
    <n v="234"/>
    <x v="1"/>
    <n v="9"/>
    <n v="4"/>
    <s v="Life Sciences"/>
    <n v="1"/>
    <n v="1807"/>
    <x v="2"/>
    <s v="Male"/>
    <n v="93"/>
    <n v="3"/>
    <n v="2"/>
    <x v="2"/>
    <x v="3"/>
    <s v="Married"/>
    <n v="5346"/>
    <n v="6208"/>
    <n v="4"/>
    <s v="Y"/>
    <x v="1"/>
    <n v="17"/>
    <n v="3"/>
    <n v="3"/>
    <n v="80"/>
    <n v="1"/>
    <n v="11"/>
    <n v="3"/>
    <x v="2"/>
    <x v="5"/>
    <n v="1"/>
    <n v="0"/>
    <n v="7"/>
  </r>
  <r>
    <n v="37"/>
    <x v="0"/>
    <s v="Travel_Rarely"/>
    <n v="370"/>
    <x v="1"/>
    <n v="10"/>
    <n v="4"/>
    <s v="Medical"/>
    <n v="1"/>
    <n v="1809"/>
    <x v="2"/>
    <s v="Male"/>
    <n v="58"/>
    <n v="3"/>
    <n v="2"/>
    <x v="3"/>
    <x v="3"/>
    <s v="Single"/>
    <n v="4213"/>
    <n v="4992"/>
    <n v="1"/>
    <s v="Y"/>
    <x v="1"/>
    <n v="15"/>
    <n v="3"/>
    <n v="2"/>
    <n v="80"/>
    <n v="0"/>
    <n v="10"/>
    <n v="4"/>
    <x v="0"/>
    <x v="1"/>
    <n v="3"/>
    <n v="0"/>
    <n v="8"/>
  </r>
  <r>
    <n v="39"/>
    <x v="1"/>
    <s v="Travel_Frequently"/>
    <n v="766"/>
    <x v="0"/>
    <n v="20"/>
    <n v="3"/>
    <s v="Life Sciences"/>
    <n v="1"/>
    <n v="1812"/>
    <x v="1"/>
    <s v="Male"/>
    <n v="83"/>
    <n v="3"/>
    <n v="2"/>
    <x v="0"/>
    <x v="0"/>
    <s v="Divorced"/>
    <n v="4127"/>
    <n v="19188"/>
    <n v="2"/>
    <s v="Y"/>
    <x v="1"/>
    <n v="18"/>
    <n v="3"/>
    <n v="4"/>
    <n v="80"/>
    <n v="1"/>
    <n v="7"/>
    <n v="6"/>
    <x v="1"/>
    <x v="4"/>
    <n v="1"/>
    <n v="2"/>
    <n v="2"/>
  </r>
  <r>
    <n v="43"/>
    <x v="1"/>
    <s v="Non-Travel"/>
    <n v="343"/>
    <x v="1"/>
    <n v="9"/>
    <n v="3"/>
    <s v="Life Sciences"/>
    <n v="1"/>
    <n v="1813"/>
    <x v="3"/>
    <s v="Male"/>
    <n v="52"/>
    <n v="3"/>
    <n v="1"/>
    <x v="1"/>
    <x v="2"/>
    <s v="Single"/>
    <n v="2438"/>
    <n v="24978"/>
    <n v="4"/>
    <s v="Y"/>
    <x v="1"/>
    <n v="13"/>
    <n v="3"/>
    <n v="3"/>
    <n v="80"/>
    <n v="0"/>
    <n v="7"/>
    <n v="2"/>
    <x v="2"/>
    <x v="11"/>
    <n v="2"/>
    <n v="1"/>
    <n v="2"/>
  </r>
  <r>
    <n v="41"/>
    <x v="1"/>
    <s v="Travel_Rarely"/>
    <n v="447"/>
    <x v="1"/>
    <n v="5"/>
    <n v="3"/>
    <s v="Life Sciences"/>
    <n v="1"/>
    <n v="1814"/>
    <x v="0"/>
    <s v="Male"/>
    <n v="85"/>
    <n v="4"/>
    <n v="2"/>
    <x v="4"/>
    <x v="1"/>
    <s v="Single"/>
    <n v="6870"/>
    <n v="15530"/>
    <n v="3"/>
    <s v="Y"/>
    <x v="1"/>
    <n v="12"/>
    <n v="3"/>
    <n v="1"/>
    <n v="80"/>
    <n v="0"/>
    <n v="11"/>
    <n v="3"/>
    <x v="0"/>
    <x v="11"/>
    <n v="2"/>
    <n v="1"/>
    <n v="2"/>
  </r>
  <r>
    <n v="41"/>
    <x v="1"/>
    <s v="Travel_Rarely"/>
    <n v="796"/>
    <x v="0"/>
    <n v="4"/>
    <n v="1"/>
    <s v="Marketing"/>
    <n v="1"/>
    <n v="1815"/>
    <x v="1"/>
    <s v="Female"/>
    <n v="81"/>
    <n v="3"/>
    <n v="3"/>
    <x v="0"/>
    <x v="2"/>
    <s v="Divorced"/>
    <n v="10447"/>
    <n v="26458"/>
    <n v="0"/>
    <s v="Y"/>
    <x v="0"/>
    <n v="13"/>
    <n v="3"/>
    <n v="4"/>
    <n v="80"/>
    <n v="1"/>
    <n v="23"/>
    <n v="3"/>
    <x v="3"/>
    <x v="14"/>
    <n v="14"/>
    <n v="13"/>
    <n v="5"/>
  </r>
  <r>
    <n v="30"/>
    <x v="1"/>
    <s v="Travel_Rarely"/>
    <n v="1092"/>
    <x v="1"/>
    <n v="10"/>
    <n v="3"/>
    <s v="Medical"/>
    <n v="1"/>
    <n v="1816"/>
    <x v="3"/>
    <s v="Female"/>
    <n v="64"/>
    <n v="3"/>
    <n v="3"/>
    <x v="3"/>
    <x v="2"/>
    <s v="Single"/>
    <n v="9667"/>
    <n v="2739"/>
    <n v="9"/>
    <s v="Y"/>
    <x v="1"/>
    <n v="14"/>
    <n v="3"/>
    <n v="2"/>
    <n v="80"/>
    <n v="0"/>
    <n v="9"/>
    <n v="3"/>
    <x v="1"/>
    <x v="5"/>
    <n v="7"/>
    <n v="0"/>
    <n v="2"/>
  </r>
  <r>
    <n v="26"/>
    <x v="0"/>
    <s v="Travel_Rarely"/>
    <n v="920"/>
    <x v="2"/>
    <n v="20"/>
    <n v="2"/>
    <s v="Medical"/>
    <n v="1"/>
    <n v="1818"/>
    <x v="2"/>
    <s v="Female"/>
    <n v="69"/>
    <n v="3"/>
    <n v="1"/>
    <x v="8"/>
    <x v="1"/>
    <s v="Married"/>
    <n v="2148"/>
    <n v="6889"/>
    <n v="0"/>
    <s v="Y"/>
    <x v="0"/>
    <n v="11"/>
    <n v="3"/>
    <n v="3"/>
    <n v="80"/>
    <n v="0"/>
    <n v="6"/>
    <n v="3"/>
    <x v="1"/>
    <x v="8"/>
    <n v="1"/>
    <n v="1"/>
    <n v="4"/>
  </r>
  <r>
    <n v="46"/>
    <x v="0"/>
    <s v="Travel_Rarely"/>
    <n v="261"/>
    <x v="1"/>
    <n v="21"/>
    <n v="2"/>
    <s v="Medical"/>
    <n v="1"/>
    <n v="1821"/>
    <x v="2"/>
    <s v="Female"/>
    <n v="66"/>
    <n v="3"/>
    <n v="2"/>
    <x v="4"/>
    <x v="1"/>
    <s v="Married"/>
    <n v="8926"/>
    <n v="10842"/>
    <n v="4"/>
    <s v="Y"/>
    <x v="1"/>
    <n v="22"/>
    <n v="4"/>
    <n v="4"/>
    <n v="80"/>
    <n v="1"/>
    <n v="13"/>
    <n v="2"/>
    <x v="3"/>
    <x v="7"/>
    <n v="7"/>
    <n v="3"/>
    <n v="7"/>
  </r>
  <r>
    <n v="40"/>
    <x v="1"/>
    <s v="Travel_Rarely"/>
    <n v="1194"/>
    <x v="1"/>
    <n v="1"/>
    <n v="3"/>
    <s v="Life Sciences"/>
    <n v="1"/>
    <n v="1822"/>
    <x v="1"/>
    <s v="Female"/>
    <n v="52"/>
    <n v="3"/>
    <n v="2"/>
    <x v="4"/>
    <x v="0"/>
    <s v="Divorced"/>
    <n v="6513"/>
    <n v="9060"/>
    <n v="4"/>
    <s v="Y"/>
    <x v="1"/>
    <n v="17"/>
    <n v="3"/>
    <n v="4"/>
    <n v="80"/>
    <n v="1"/>
    <n v="12"/>
    <n v="3"/>
    <x v="1"/>
    <x v="8"/>
    <n v="3"/>
    <n v="0"/>
    <n v="3"/>
  </r>
  <r>
    <n v="34"/>
    <x v="1"/>
    <s v="Travel_Rarely"/>
    <n v="810"/>
    <x v="0"/>
    <n v="8"/>
    <n v="2"/>
    <s v="Technical Degree"/>
    <n v="1"/>
    <n v="1823"/>
    <x v="0"/>
    <s v="Male"/>
    <n v="92"/>
    <n v="4"/>
    <n v="2"/>
    <x v="0"/>
    <x v="2"/>
    <s v="Married"/>
    <n v="6799"/>
    <n v="22128"/>
    <n v="1"/>
    <s v="Y"/>
    <x v="1"/>
    <n v="21"/>
    <n v="4"/>
    <n v="3"/>
    <n v="80"/>
    <n v="2"/>
    <n v="10"/>
    <n v="5"/>
    <x v="1"/>
    <x v="1"/>
    <n v="8"/>
    <n v="4"/>
    <n v="8"/>
  </r>
  <r>
    <n v="58"/>
    <x v="1"/>
    <s v="Non-Travel"/>
    <n v="350"/>
    <x v="0"/>
    <n v="2"/>
    <n v="3"/>
    <s v="Medical"/>
    <n v="1"/>
    <n v="1824"/>
    <x v="0"/>
    <s v="Male"/>
    <n v="52"/>
    <n v="3"/>
    <n v="4"/>
    <x v="5"/>
    <x v="1"/>
    <s v="Divorced"/>
    <n v="16291"/>
    <n v="22577"/>
    <n v="4"/>
    <s v="Y"/>
    <x v="1"/>
    <n v="22"/>
    <n v="4"/>
    <n v="4"/>
    <n v="80"/>
    <n v="1"/>
    <n v="37"/>
    <n v="0"/>
    <x v="2"/>
    <x v="22"/>
    <n v="9"/>
    <n v="14"/>
    <n v="14"/>
  </r>
  <r>
    <n v="35"/>
    <x v="1"/>
    <s v="Travel_Rarely"/>
    <n v="185"/>
    <x v="1"/>
    <n v="23"/>
    <n v="4"/>
    <s v="Medical"/>
    <n v="1"/>
    <n v="1826"/>
    <x v="0"/>
    <s v="Male"/>
    <n v="91"/>
    <n v="1"/>
    <n v="1"/>
    <x v="2"/>
    <x v="2"/>
    <s v="Married"/>
    <n v="2705"/>
    <n v="9696"/>
    <n v="0"/>
    <s v="Y"/>
    <x v="1"/>
    <n v="16"/>
    <n v="3"/>
    <n v="2"/>
    <n v="80"/>
    <n v="1"/>
    <n v="6"/>
    <n v="2"/>
    <x v="3"/>
    <x v="8"/>
    <n v="4"/>
    <n v="0"/>
    <n v="3"/>
  </r>
  <r>
    <n v="47"/>
    <x v="1"/>
    <s v="Travel_Rarely"/>
    <n v="1001"/>
    <x v="1"/>
    <n v="4"/>
    <n v="3"/>
    <s v="Life Sciences"/>
    <n v="1"/>
    <n v="1827"/>
    <x v="1"/>
    <s v="Female"/>
    <n v="92"/>
    <n v="2"/>
    <n v="3"/>
    <x v="3"/>
    <x v="1"/>
    <s v="Divorced"/>
    <n v="10333"/>
    <n v="19271"/>
    <n v="8"/>
    <s v="Y"/>
    <x v="0"/>
    <n v="12"/>
    <n v="3"/>
    <n v="3"/>
    <n v="80"/>
    <n v="1"/>
    <n v="28"/>
    <n v="4"/>
    <x v="1"/>
    <x v="14"/>
    <n v="11"/>
    <n v="14"/>
    <n v="10"/>
  </r>
  <r>
    <n v="40"/>
    <x v="1"/>
    <s v="Travel_Rarely"/>
    <n v="750"/>
    <x v="1"/>
    <n v="12"/>
    <n v="3"/>
    <s v="Life Sciences"/>
    <n v="1"/>
    <n v="1829"/>
    <x v="0"/>
    <s v="Female"/>
    <n v="47"/>
    <n v="3"/>
    <n v="2"/>
    <x v="4"/>
    <x v="3"/>
    <s v="Divorced"/>
    <n v="4448"/>
    <n v="10748"/>
    <n v="2"/>
    <s v="Y"/>
    <x v="1"/>
    <n v="12"/>
    <n v="3"/>
    <n v="2"/>
    <n v="80"/>
    <n v="1"/>
    <n v="15"/>
    <n v="3"/>
    <x v="1"/>
    <x v="5"/>
    <n v="4"/>
    <n v="7"/>
    <n v="7"/>
  </r>
  <r>
    <n v="54"/>
    <x v="1"/>
    <s v="Travel_Rarely"/>
    <n v="431"/>
    <x v="1"/>
    <n v="7"/>
    <n v="4"/>
    <s v="Medical"/>
    <n v="1"/>
    <n v="1830"/>
    <x v="2"/>
    <s v="Female"/>
    <n v="68"/>
    <n v="3"/>
    <n v="2"/>
    <x v="1"/>
    <x v="0"/>
    <s v="Married"/>
    <n v="6854"/>
    <n v="15696"/>
    <n v="4"/>
    <s v="Y"/>
    <x v="1"/>
    <n v="15"/>
    <n v="3"/>
    <n v="2"/>
    <n v="80"/>
    <n v="1"/>
    <n v="14"/>
    <n v="2"/>
    <x v="2"/>
    <x v="5"/>
    <n v="1"/>
    <n v="1"/>
    <n v="7"/>
  </r>
  <r>
    <n v="31"/>
    <x v="1"/>
    <s v="Travel_Frequently"/>
    <n v="1125"/>
    <x v="0"/>
    <n v="7"/>
    <n v="4"/>
    <s v="Marketing"/>
    <n v="1"/>
    <n v="1833"/>
    <x v="3"/>
    <s v="Female"/>
    <n v="68"/>
    <n v="3"/>
    <n v="3"/>
    <x v="0"/>
    <x v="3"/>
    <s v="Married"/>
    <n v="9637"/>
    <n v="8277"/>
    <n v="2"/>
    <s v="Y"/>
    <x v="1"/>
    <n v="14"/>
    <n v="3"/>
    <n v="4"/>
    <n v="80"/>
    <n v="2"/>
    <n v="9"/>
    <n v="3"/>
    <x v="1"/>
    <x v="11"/>
    <n v="2"/>
    <n v="2"/>
    <n v="2"/>
  </r>
  <r>
    <n v="28"/>
    <x v="1"/>
    <s v="Travel_Rarely"/>
    <n v="1217"/>
    <x v="1"/>
    <n v="1"/>
    <n v="3"/>
    <s v="Medical"/>
    <n v="1"/>
    <n v="1834"/>
    <x v="1"/>
    <s v="Female"/>
    <n v="67"/>
    <n v="3"/>
    <n v="1"/>
    <x v="1"/>
    <x v="3"/>
    <s v="Married"/>
    <n v="3591"/>
    <n v="12719"/>
    <n v="1"/>
    <s v="Y"/>
    <x v="1"/>
    <n v="25"/>
    <n v="4"/>
    <n v="3"/>
    <n v="80"/>
    <n v="1"/>
    <n v="3"/>
    <n v="3"/>
    <x v="1"/>
    <x v="11"/>
    <n v="2"/>
    <n v="1"/>
    <n v="2"/>
  </r>
  <r>
    <n v="38"/>
    <x v="1"/>
    <s v="Travel_Rarely"/>
    <n v="723"/>
    <x v="0"/>
    <n v="2"/>
    <n v="4"/>
    <s v="Marketing"/>
    <n v="1"/>
    <n v="1835"/>
    <x v="0"/>
    <s v="Female"/>
    <n v="77"/>
    <n v="1"/>
    <n v="2"/>
    <x v="6"/>
    <x v="0"/>
    <s v="Married"/>
    <n v="5405"/>
    <n v="4244"/>
    <n v="2"/>
    <s v="Y"/>
    <x v="0"/>
    <n v="20"/>
    <n v="4"/>
    <n v="1"/>
    <n v="80"/>
    <n v="2"/>
    <n v="20"/>
    <n v="4"/>
    <x v="2"/>
    <x v="9"/>
    <n v="2"/>
    <n v="0"/>
    <n v="3"/>
  </r>
  <r>
    <n v="26"/>
    <x v="1"/>
    <s v="Travel_Rarely"/>
    <n v="572"/>
    <x v="0"/>
    <n v="10"/>
    <n v="3"/>
    <s v="Medical"/>
    <n v="1"/>
    <n v="1836"/>
    <x v="1"/>
    <s v="Male"/>
    <n v="46"/>
    <n v="3"/>
    <n v="2"/>
    <x v="0"/>
    <x v="0"/>
    <s v="Single"/>
    <n v="4684"/>
    <n v="9125"/>
    <n v="1"/>
    <s v="Y"/>
    <x v="1"/>
    <n v="13"/>
    <n v="3"/>
    <n v="1"/>
    <n v="80"/>
    <n v="0"/>
    <n v="5"/>
    <n v="4"/>
    <x v="1"/>
    <x v="8"/>
    <n v="3"/>
    <n v="1"/>
    <n v="2"/>
  </r>
  <r>
    <n v="58"/>
    <x v="1"/>
    <s v="Travel_Frequently"/>
    <n v="1216"/>
    <x v="1"/>
    <n v="15"/>
    <n v="4"/>
    <s v="Life Sciences"/>
    <n v="1"/>
    <n v="1837"/>
    <x v="3"/>
    <s v="Male"/>
    <n v="87"/>
    <n v="3"/>
    <n v="4"/>
    <x v="7"/>
    <x v="2"/>
    <s v="Married"/>
    <n v="15787"/>
    <n v="21624"/>
    <n v="2"/>
    <s v="Y"/>
    <x v="0"/>
    <n v="14"/>
    <n v="3"/>
    <n v="2"/>
    <n v="80"/>
    <n v="0"/>
    <n v="23"/>
    <n v="3"/>
    <x v="1"/>
    <x v="4"/>
    <n v="2"/>
    <n v="2"/>
    <n v="2"/>
  </r>
  <r>
    <n v="18"/>
    <x v="1"/>
    <s v="Non-Travel"/>
    <n v="1431"/>
    <x v="1"/>
    <n v="14"/>
    <n v="3"/>
    <s v="Medical"/>
    <n v="1"/>
    <n v="1839"/>
    <x v="0"/>
    <s v="Female"/>
    <n v="33"/>
    <n v="3"/>
    <n v="1"/>
    <x v="1"/>
    <x v="2"/>
    <s v="Single"/>
    <n v="1514"/>
    <n v="8018"/>
    <n v="1"/>
    <s v="Y"/>
    <x v="1"/>
    <n v="16"/>
    <n v="3"/>
    <n v="3"/>
    <n v="80"/>
    <n v="0"/>
    <n v="0"/>
    <n v="4"/>
    <x v="0"/>
    <x v="2"/>
    <n v="0"/>
    <n v="0"/>
    <n v="0"/>
  </r>
  <r>
    <n v="31"/>
    <x v="0"/>
    <s v="Travel_Rarely"/>
    <n v="359"/>
    <x v="2"/>
    <n v="18"/>
    <n v="5"/>
    <s v="Human Resources"/>
    <n v="1"/>
    <n v="1842"/>
    <x v="2"/>
    <s v="Male"/>
    <n v="89"/>
    <n v="4"/>
    <n v="1"/>
    <x v="8"/>
    <x v="3"/>
    <s v="Married"/>
    <n v="2956"/>
    <n v="21495"/>
    <n v="0"/>
    <s v="Y"/>
    <x v="1"/>
    <n v="17"/>
    <n v="3"/>
    <n v="3"/>
    <n v="80"/>
    <n v="0"/>
    <n v="2"/>
    <n v="4"/>
    <x v="1"/>
    <x v="6"/>
    <n v="0"/>
    <n v="0"/>
    <n v="0"/>
  </r>
  <r>
    <n v="29"/>
    <x v="0"/>
    <s v="Travel_Rarely"/>
    <n v="350"/>
    <x v="2"/>
    <n v="13"/>
    <n v="3"/>
    <s v="Human Resources"/>
    <n v="1"/>
    <n v="1844"/>
    <x v="3"/>
    <s v="Male"/>
    <n v="56"/>
    <n v="2"/>
    <n v="1"/>
    <x v="8"/>
    <x v="3"/>
    <s v="Divorced"/>
    <n v="2335"/>
    <n v="3157"/>
    <n v="4"/>
    <s v="Y"/>
    <x v="0"/>
    <n v="15"/>
    <n v="3"/>
    <n v="4"/>
    <n v="80"/>
    <n v="3"/>
    <n v="4"/>
    <n v="3"/>
    <x v="1"/>
    <x v="4"/>
    <n v="2"/>
    <n v="2"/>
    <n v="0"/>
  </r>
  <r>
    <n v="45"/>
    <x v="1"/>
    <s v="Non-Travel"/>
    <n v="589"/>
    <x v="0"/>
    <n v="2"/>
    <n v="4"/>
    <s v="Life Sciences"/>
    <n v="1"/>
    <n v="1845"/>
    <x v="1"/>
    <s v="Female"/>
    <n v="67"/>
    <n v="3"/>
    <n v="2"/>
    <x v="0"/>
    <x v="2"/>
    <s v="Married"/>
    <n v="5154"/>
    <n v="19665"/>
    <n v="4"/>
    <s v="Y"/>
    <x v="1"/>
    <n v="22"/>
    <n v="4"/>
    <n v="2"/>
    <n v="80"/>
    <n v="2"/>
    <n v="10"/>
    <n v="3"/>
    <x v="3"/>
    <x v="3"/>
    <n v="7"/>
    <n v="5"/>
    <n v="7"/>
  </r>
  <r>
    <n v="36"/>
    <x v="1"/>
    <s v="Travel_Rarely"/>
    <n v="430"/>
    <x v="1"/>
    <n v="2"/>
    <n v="4"/>
    <s v="Other"/>
    <n v="1"/>
    <n v="1847"/>
    <x v="2"/>
    <s v="Female"/>
    <n v="73"/>
    <n v="3"/>
    <n v="2"/>
    <x v="1"/>
    <x v="1"/>
    <s v="Married"/>
    <n v="6962"/>
    <n v="19573"/>
    <n v="4"/>
    <s v="Y"/>
    <x v="0"/>
    <n v="22"/>
    <n v="4"/>
    <n v="4"/>
    <n v="80"/>
    <n v="1"/>
    <n v="15"/>
    <n v="2"/>
    <x v="1"/>
    <x v="6"/>
    <n v="0"/>
    <n v="0"/>
    <n v="0"/>
  </r>
  <r>
    <n v="43"/>
    <x v="1"/>
    <s v="Travel_Frequently"/>
    <n v="1422"/>
    <x v="0"/>
    <n v="2"/>
    <n v="4"/>
    <s v="Life Sciences"/>
    <n v="1"/>
    <n v="1849"/>
    <x v="3"/>
    <s v="Male"/>
    <n v="92"/>
    <n v="3"/>
    <n v="2"/>
    <x v="0"/>
    <x v="0"/>
    <s v="Married"/>
    <n v="5675"/>
    <n v="19246"/>
    <n v="1"/>
    <s v="Y"/>
    <x v="1"/>
    <n v="20"/>
    <n v="4"/>
    <n v="3"/>
    <n v="80"/>
    <n v="1"/>
    <n v="7"/>
    <n v="5"/>
    <x v="1"/>
    <x v="5"/>
    <n v="7"/>
    <n v="7"/>
    <n v="7"/>
  </r>
  <r>
    <n v="27"/>
    <x v="1"/>
    <s v="Travel_Frequently"/>
    <n v="1297"/>
    <x v="1"/>
    <n v="5"/>
    <n v="2"/>
    <s v="Life Sciences"/>
    <n v="1"/>
    <n v="1850"/>
    <x v="2"/>
    <s v="Female"/>
    <n v="53"/>
    <n v="3"/>
    <n v="1"/>
    <x v="2"/>
    <x v="0"/>
    <s v="Single"/>
    <n v="2379"/>
    <n v="19826"/>
    <n v="0"/>
    <s v="Y"/>
    <x v="0"/>
    <n v="14"/>
    <n v="3"/>
    <n v="3"/>
    <n v="80"/>
    <n v="0"/>
    <n v="6"/>
    <n v="3"/>
    <x v="2"/>
    <x v="8"/>
    <n v="4"/>
    <n v="0"/>
    <n v="2"/>
  </r>
  <r>
    <n v="29"/>
    <x v="1"/>
    <s v="Travel_Frequently"/>
    <n v="574"/>
    <x v="1"/>
    <n v="20"/>
    <n v="1"/>
    <s v="Medical"/>
    <n v="1"/>
    <n v="1852"/>
    <x v="2"/>
    <s v="Male"/>
    <n v="40"/>
    <n v="3"/>
    <n v="1"/>
    <x v="2"/>
    <x v="0"/>
    <s v="Married"/>
    <n v="3812"/>
    <n v="7003"/>
    <n v="1"/>
    <s v="Y"/>
    <x v="1"/>
    <n v="13"/>
    <n v="3"/>
    <n v="2"/>
    <n v="80"/>
    <n v="0"/>
    <n v="11"/>
    <n v="3"/>
    <x v="3"/>
    <x v="19"/>
    <n v="8"/>
    <n v="3"/>
    <n v="10"/>
  </r>
  <r>
    <n v="32"/>
    <x v="1"/>
    <s v="Travel_Frequently"/>
    <n v="1318"/>
    <x v="0"/>
    <n v="10"/>
    <n v="4"/>
    <s v="Marketing"/>
    <n v="1"/>
    <n v="1853"/>
    <x v="2"/>
    <s v="Male"/>
    <n v="79"/>
    <n v="3"/>
    <n v="2"/>
    <x v="0"/>
    <x v="0"/>
    <s v="Single"/>
    <n v="4648"/>
    <n v="26075"/>
    <n v="8"/>
    <s v="Y"/>
    <x v="1"/>
    <n v="13"/>
    <n v="3"/>
    <n v="3"/>
    <n v="80"/>
    <n v="0"/>
    <n v="4"/>
    <n v="2"/>
    <x v="3"/>
    <x v="2"/>
    <n v="0"/>
    <n v="0"/>
    <n v="0"/>
  </r>
  <r>
    <n v="42"/>
    <x v="1"/>
    <s v="Non-Travel"/>
    <n v="355"/>
    <x v="1"/>
    <n v="10"/>
    <n v="4"/>
    <s v="Technical Degree"/>
    <n v="1"/>
    <n v="1854"/>
    <x v="1"/>
    <s v="Male"/>
    <n v="38"/>
    <n v="3"/>
    <n v="1"/>
    <x v="1"/>
    <x v="2"/>
    <s v="Married"/>
    <n v="2936"/>
    <n v="6161"/>
    <n v="3"/>
    <s v="Y"/>
    <x v="1"/>
    <n v="22"/>
    <n v="4"/>
    <n v="2"/>
    <n v="80"/>
    <n v="2"/>
    <n v="10"/>
    <n v="1"/>
    <x v="2"/>
    <x v="0"/>
    <n v="3"/>
    <n v="3"/>
    <n v="3"/>
  </r>
  <r>
    <n v="47"/>
    <x v="1"/>
    <s v="Travel_Rarely"/>
    <n v="207"/>
    <x v="1"/>
    <n v="9"/>
    <n v="4"/>
    <s v="Life Sciences"/>
    <n v="1"/>
    <n v="1856"/>
    <x v="0"/>
    <s v="Female"/>
    <n v="64"/>
    <n v="3"/>
    <n v="1"/>
    <x v="2"/>
    <x v="2"/>
    <s v="Single"/>
    <n v="2105"/>
    <n v="5411"/>
    <n v="4"/>
    <s v="Y"/>
    <x v="1"/>
    <n v="12"/>
    <n v="3"/>
    <n v="3"/>
    <n v="80"/>
    <n v="0"/>
    <n v="7"/>
    <n v="2"/>
    <x v="1"/>
    <x v="4"/>
    <n v="2"/>
    <n v="2"/>
    <n v="0"/>
  </r>
  <r>
    <n v="46"/>
    <x v="1"/>
    <s v="Travel_Rarely"/>
    <n v="706"/>
    <x v="1"/>
    <n v="2"/>
    <n v="2"/>
    <s v="Life Sciences"/>
    <n v="1"/>
    <n v="1857"/>
    <x v="2"/>
    <s v="Male"/>
    <n v="82"/>
    <n v="3"/>
    <n v="3"/>
    <x v="3"/>
    <x v="0"/>
    <s v="Divorced"/>
    <n v="8578"/>
    <n v="19989"/>
    <n v="3"/>
    <s v="Y"/>
    <x v="1"/>
    <n v="14"/>
    <n v="3"/>
    <n v="3"/>
    <n v="80"/>
    <n v="1"/>
    <n v="12"/>
    <n v="4"/>
    <x v="2"/>
    <x v="7"/>
    <n v="8"/>
    <n v="4"/>
    <n v="7"/>
  </r>
  <r>
    <n v="28"/>
    <x v="1"/>
    <s v="Non-Travel"/>
    <n v="280"/>
    <x v="2"/>
    <n v="1"/>
    <n v="2"/>
    <s v="Life Sciences"/>
    <n v="1"/>
    <n v="1858"/>
    <x v="1"/>
    <s v="Male"/>
    <n v="43"/>
    <n v="3"/>
    <n v="1"/>
    <x v="8"/>
    <x v="0"/>
    <s v="Divorced"/>
    <n v="2706"/>
    <n v="10494"/>
    <n v="1"/>
    <s v="Y"/>
    <x v="1"/>
    <n v="15"/>
    <n v="3"/>
    <n v="2"/>
    <n v="80"/>
    <n v="1"/>
    <n v="3"/>
    <n v="2"/>
    <x v="1"/>
    <x v="11"/>
    <n v="2"/>
    <n v="2"/>
    <n v="2"/>
  </r>
  <r>
    <n v="29"/>
    <x v="1"/>
    <s v="Travel_Rarely"/>
    <n v="726"/>
    <x v="1"/>
    <n v="29"/>
    <n v="1"/>
    <s v="Life Sciences"/>
    <n v="1"/>
    <n v="1859"/>
    <x v="2"/>
    <s v="Male"/>
    <n v="93"/>
    <n v="1"/>
    <n v="2"/>
    <x v="4"/>
    <x v="2"/>
    <s v="Divorced"/>
    <n v="6384"/>
    <n v="21143"/>
    <n v="8"/>
    <s v="Y"/>
    <x v="1"/>
    <n v="17"/>
    <n v="3"/>
    <n v="4"/>
    <n v="80"/>
    <n v="2"/>
    <n v="11"/>
    <n v="3"/>
    <x v="1"/>
    <x v="5"/>
    <n v="0"/>
    <n v="1"/>
    <n v="6"/>
  </r>
  <r>
    <n v="42"/>
    <x v="1"/>
    <s v="Travel_Rarely"/>
    <n v="1142"/>
    <x v="1"/>
    <n v="8"/>
    <n v="3"/>
    <s v="Life Sciences"/>
    <n v="1"/>
    <n v="1860"/>
    <x v="2"/>
    <s v="Male"/>
    <n v="81"/>
    <n v="3"/>
    <n v="1"/>
    <x v="2"/>
    <x v="2"/>
    <s v="Single"/>
    <n v="3968"/>
    <n v="13624"/>
    <n v="4"/>
    <s v="Y"/>
    <x v="1"/>
    <n v="13"/>
    <n v="3"/>
    <n v="4"/>
    <n v="80"/>
    <n v="0"/>
    <n v="8"/>
    <n v="3"/>
    <x v="1"/>
    <x v="2"/>
    <n v="0"/>
    <n v="0"/>
    <n v="0"/>
  </r>
  <r>
    <n v="32"/>
    <x v="0"/>
    <s v="Travel_Rarely"/>
    <n v="414"/>
    <x v="0"/>
    <n v="2"/>
    <n v="4"/>
    <s v="Marketing"/>
    <n v="1"/>
    <n v="1862"/>
    <x v="1"/>
    <s v="Male"/>
    <n v="82"/>
    <n v="2"/>
    <n v="2"/>
    <x v="0"/>
    <x v="1"/>
    <s v="Single"/>
    <n v="9907"/>
    <n v="26186"/>
    <n v="7"/>
    <s v="Y"/>
    <x v="0"/>
    <n v="12"/>
    <n v="3"/>
    <n v="3"/>
    <n v="80"/>
    <n v="0"/>
    <n v="7"/>
    <n v="3"/>
    <x v="2"/>
    <x v="4"/>
    <n v="2"/>
    <n v="2"/>
    <n v="2"/>
  </r>
  <r>
    <n v="46"/>
    <x v="1"/>
    <s v="Travel_Rarely"/>
    <n v="1319"/>
    <x v="0"/>
    <n v="3"/>
    <n v="3"/>
    <s v="Technical Degree"/>
    <n v="1"/>
    <n v="1863"/>
    <x v="3"/>
    <s v="Female"/>
    <n v="45"/>
    <n v="4"/>
    <n v="4"/>
    <x v="0"/>
    <x v="3"/>
    <s v="Divorced"/>
    <n v="13225"/>
    <n v="7739"/>
    <n v="2"/>
    <s v="Y"/>
    <x v="1"/>
    <n v="12"/>
    <n v="3"/>
    <n v="4"/>
    <n v="80"/>
    <n v="1"/>
    <n v="25"/>
    <n v="5"/>
    <x v="1"/>
    <x v="27"/>
    <n v="17"/>
    <n v="2"/>
    <n v="8"/>
  </r>
  <r>
    <n v="27"/>
    <x v="1"/>
    <s v="Travel_Rarely"/>
    <n v="728"/>
    <x v="0"/>
    <n v="23"/>
    <n v="1"/>
    <s v="Medical"/>
    <n v="1"/>
    <n v="1864"/>
    <x v="0"/>
    <s v="Female"/>
    <n v="36"/>
    <n v="2"/>
    <n v="2"/>
    <x v="6"/>
    <x v="2"/>
    <s v="Married"/>
    <n v="3540"/>
    <n v="7018"/>
    <n v="1"/>
    <s v="Y"/>
    <x v="1"/>
    <n v="21"/>
    <n v="4"/>
    <n v="4"/>
    <n v="80"/>
    <n v="1"/>
    <n v="9"/>
    <n v="5"/>
    <x v="1"/>
    <x v="7"/>
    <n v="8"/>
    <n v="5"/>
    <n v="8"/>
  </r>
  <r>
    <n v="29"/>
    <x v="1"/>
    <s v="Travel_Rarely"/>
    <n v="352"/>
    <x v="2"/>
    <n v="6"/>
    <n v="1"/>
    <s v="Medical"/>
    <n v="1"/>
    <n v="1865"/>
    <x v="2"/>
    <s v="Male"/>
    <n v="87"/>
    <n v="2"/>
    <n v="1"/>
    <x v="8"/>
    <x v="1"/>
    <s v="Married"/>
    <n v="2804"/>
    <n v="15434"/>
    <n v="1"/>
    <s v="Y"/>
    <x v="1"/>
    <n v="11"/>
    <n v="3"/>
    <n v="4"/>
    <n v="80"/>
    <n v="0"/>
    <n v="1"/>
    <n v="3"/>
    <x v="1"/>
    <x v="6"/>
    <n v="0"/>
    <n v="0"/>
    <n v="0"/>
  </r>
  <r>
    <n v="43"/>
    <x v="1"/>
    <s v="Travel_Rarely"/>
    <n v="823"/>
    <x v="1"/>
    <n v="6"/>
    <n v="3"/>
    <s v="Medical"/>
    <n v="1"/>
    <n v="1866"/>
    <x v="3"/>
    <s v="Female"/>
    <n v="81"/>
    <n v="2"/>
    <n v="5"/>
    <x v="5"/>
    <x v="2"/>
    <s v="Married"/>
    <n v="19392"/>
    <n v="22539"/>
    <n v="7"/>
    <s v="Y"/>
    <x v="1"/>
    <n v="13"/>
    <n v="3"/>
    <n v="4"/>
    <n v="80"/>
    <n v="0"/>
    <n v="21"/>
    <n v="2"/>
    <x v="1"/>
    <x v="22"/>
    <n v="12"/>
    <n v="6"/>
    <n v="14"/>
  </r>
  <r>
    <n v="48"/>
    <x v="1"/>
    <s v="Travel_Rarely"/>
    <n v="1224"/>
    <x v="1"/>
    <n v="10"/>
    <n v="3"/>
    <s v="Life Sciences"/>
    <n v="1"/>
    <n v="1867"/>
    <x v="2"/>
    <s v="Male"/>
    <n v="91"/>
    <n v="2"/>
    <n v="5"/>
    <x v="7"/>
    <x v="1"/>
    <s v="Married"/>
    <n v="19665"/>
    <n v="13583"/>
    <n v="4"/>
    <s v="Y"/>
    <x v="1"/>
    <n v="12"/>
    <n v="3"/>
    <n v="4"/>
    <n v="80"/>
    <n v="0"/>
    <n v="29"/>
    <n v="3"/>
    <x v="1"/>
    <x v="14"/>
    <n v="10"/>
    <n v="12"/>
    <n v="9"/>
  </r>
  <r>
    <n v="29"/>
    <x v="0"/>
    <s v="Travel_Frequently"/>
    <n v="459"/>
    <x v="1"/>
    <n v="24"/>
    <n v="2"/>
    <s v="Life Sciences"/>
    <n v="1"/>
    <n v="1868"/>
    <x v="2"/>
    <s v="Male"/>
    <n v="73"/>
    <n v="2"/>
    <n v="1"/>
    <x v="1"/>
    <x v="0"/>
    <s v="Single"/>
    <n v="2439"/>
    <n v="14753"/>
    <n v="1"/>
    <s v="Y"/>
    <x v="0"/>
    <n v="24"/>
    <n v="4"/>
    <n v="2"/>
    <n v="80"/>
    <n v="0"/>
    <n v="1"/>
    <n v="3"/>
    <x v="2"/>
    <x v="6"/>
    <n v="0"/>
    <n v="1"/>
    <n v="0"/>
  </r>
  <r>
    <n v="46"/>
    <x v="0"/>
    <s v="Travel_Rarely"/>
    <n v="1254"/>
    <x v="0"/>
    <n v="10"/>
    <n v="3"/>
    <s v="Life Sciences"/>
    <n v="1"/>
    <n v="1869"/>
    <x v="1"/>
    <s v="Female"/>
    <n v="64"/>
    <n v="3"/>
    <n v="3"/>
    <x v="0"/>
    <x v="1"/>
    <s v="Married"/>
    <n v="7314"/>
    <n v="14011"/>
    <n v="5"/>
    <s v="Y"/>
    <x v="1"/>
    <n v="21"/>
    <n v="4"/>
    <n v="3"/>
    <n v="80"/>
    <n v="3"/>
    <n v="14"/>
    <n v="2"/>
    <x v="1"/>
    <x v="3"/>
    <n v="7"/>
    <n v="0"/>
    <n v="7"/>
  </r>
  <r>
    <n v="27"/>
    <x v="1"/>
    <s v="Travel_Frequently"/>
    <n v="1131"/>
    <x v="1"/>
    <n v="15"/>
    <n v="3"/>
    <s v="Life Sciences"/>
    <n v="1"/>
    <n v="1870"/>
    <x v="2"/>
    <s v="Female"/>
    <n v="77"/>
    <n v="2"/>
    <n v="1"/>
    <x v="1"/>
    <x v="3"/>
    <s v="Married"/>
    <n v="4774"/>
    <n v="23844"/>
    <n v="0"/>
    <s v="Y"/>
    <x v="1"/>
    <n v="19"/>
    <n v="3"/>
    <n v="4"/>
    <n v="80"/>
    <n v="1"/>
    <n v="8"/>
    <n v="2"/>
    <x v="2"/>
    <x v="5"/>
    <n v="6"/>
    <n v="7"/>
    <n v="3"/>
  </r>
  <r>
    <n v="39"/>
    <x v="1"/>
    <s v="Travel_Rarely"/>
    <n v="835"/>
    <x v="1"/>
    <n v="19"/>
    <n v="4"/>
    <s v="Other"/>
    <n v="1"/>
    <n v="1871"/>
    <x v="2"/>
    <s v="Male"/>
    <n v="41"/>
    <n v="3"/>
    <n v="2"/>
    <x v="1"/>
    <x v="0"/>
    <s v="Divorced"/>
    <n v="3902"/>
    <n v="5141"/>
    <n v="8"/>
    <s v="Y"/>
    <x v="1"/>
    <n v="14"/>
    <n v="3"/>
    <n v="2"/>
    <n v="80"/>
    <n v="3"/>
    <n v="7"/>
    <n v="2"/>
    <x v="1"/>
    <x v="4"/>
    <n v="2"/>
    <n v="2"/>
    <n v="2"/>
  </r>
  <r>
    <n v="55"/>
    <x v="1"/>
    <s v="Travel_Rarely"/>
    <n v="836"/>
    <x v="1"/>
    <n v="2"/>
    <n v="4"/>
    <s v="Technical Degree"/>
    <n v="1"/>
    <n v="1873"/>
    <x v="0"/>
    <s v="Male"/>
    <n v="98"/>
    <n v="2"/>
    <n v="1"/>
    <x v="1"/>
    <x v="0"/>
    <s v="Married"/>
    <n v="2662"/>
    <n v="7975"/>
    <n v="8"/>
    <s v="Y"/>
    <x v="1"/>
    <n v="20"/>
    <n v="4"/>
    <n v="2"/>
    <n v="80"/>
    <n v="1"/>
    <n v="19"/>
    <n v="2"/>
    <x v="3"/>
    <x v="8"/>
    <n v="2"/>
    <n v="0"/>
    <n v="4"/>
  </r>
  <r>
    <n v="28"/>
    <x v="1"/>
    <s v="Travel_Rarely"/>
    <n v="1172"/>
    <x v="0"/>
    <n v="3"/>
    <n v="3"/>
    <s v="Medical"/>
    <n v="1"/>
    <n v="1875"/>
    <x v="0"/>
    <s v="Female"/>
    <n v="78"/>
    <n v="3"/>
    <n v="1"/>
    <x v="6"/>
    <x v="1"/>
    <s v="Married"/>
    <n v="2856"/>
    <n v="3692"/>
    <n v="1"/>
    <s v="Y"/>
    <x v="1"/>
    <n v="19"/>
    <n v="3"/>
    <n v="4"/>
    <n v="80"/>
    <n v="1"/>
    <n v="1"/>
    <n v="3"/>
    <x v="1"/>
    <x v="6"/>
    <n v="0"/>
    <n v="0"/>
    <n v="0"/>
  </r>
  <r>
    <n v="30"/>
    <x v="0"/>
    <s v="Travel_Rarely"/>
    <n v="945"/>
    <x v="0"/>
    <n v="9"/>
    <n v="3"/>
    <s v="Medical"/>
    <n v="1"/>
    <n v="1876"/>
    <x v="0"/>
    <s v="Male"/>
    <n v="89"/>
    <n v="3"/>
    <n v="1"/>
    <x v="6"/>
    <x v="0"/>
    <s v="Single"/>
    <n v="1081"/>
    <n v="16019"/>
    <n v="1"/>
    <s v="Y"/>
    <x v="1"/>
    <n v="13"/>
    <n v="3"/>
    <n v="3"/>
    <n v="80"/>
    <n v="0"/>
    <n v="1"/>
    <n v="3"/>
    <x v="2"/>
    <x v="6"/>
    <n v="0"/>
    <n v="0"/>
    <n v="0"/>
  </r>
  <r>
    <n v="22"/>
    <x v="0"/>
    <s v="Travel_Rarely"/>
    <n v="391"/>
    <x v="1"/>
    <n v="7"/>
    <n v="1"/>
    <s v="Life Sciences"/>
    <n v="1"/>
    <n v="1878"/>
    <x v="2"/>
    <s v="Male"/>
    <n v="75"/>
    <n v="3"/>
    <n v="1"/>
    <x v="1"/>
    <x v="1"/>
    <s v="Single"/>
    <n v="2472"/>
    <n v="26092"/>
    <n v="1"/>
    <s v="Y"/>
    <x v="0"/>
    <n v="23"/>
    <n v="4"/>
    <n v="1"/>
    <n v="80"/>
    <n v="0"/>
    <n v="1"/>
    <n v="2"/>
    <x v="1"/>
    <x v="6"/>
    <n v="0"/>
    <n v="0"/>
    <n v="0"/>
  </r>
  <r>
    <n v="36"/>
    <x v="1"/>
    <s v="Travel_Rarely"/>
    <n v="1266"/>
    <x v="0"/>
    <n v="10"/>
    <n v="4"/>
    <s v="Technical Degree"/>
    <n v="1"/>
    <n v="1880"/>
    <x v="0"/>
    <s v="Female"/>
    <n v="63"/>
    <n v="2"/>
    <n v="2"/>
    <x v="0"/>
    <x v="2"/>
    <s v="Married"/>
    <n v="5673"/>
    <n v="6060"/>
    <n v="1"/>
    <s v="Y"/>
    <x v="0"/>
    <n v="13"/>
    <n v="3"/>
    <n v="1"/>
    <n v="80"/>
    <n v="1"/>
    <n v="10"/>
    <n v="4"/>
    <x v="1"/>
    <x v="1"/>
    <n v="9"/>
    <n v="1"/>
    <n v="7"/>
  </r>
  <r>
    <n v="31"/>
    <x v="1"/>
    <s v="Travel_Rarely"/>
    <n v="311"/>
    <x v="1"/>
    <n v="20"/>
    <n v="3"/>
    <s v="Life Sciences"/>
    <n v="1"/>
    <n v="1881"/>
    <x v="0"/>
    <s v="Male"/>
    <n v="89"/>
    <n v="3"/>
    <n v="2"/>
    <x v="2"/>
    <x v="2"/>
    <s v="Divorced"/>
    <n v="4197"/>
    <n v="18624"/>
    <n v="1"/>
    <s v="Y"/>
    <x v="1"/>
    <n v="11"/>
    <n v="3"/>
    <n v="1"/>
    <n v="80"/>
    <n v="1"/>
    <n v="10"/>
    <n v="2"/>
    <x v="1"/>
    <x v="1"/>
    <n v="8"/>
    <n v="0"/>
    <n v="2"/>
  </r>
  <r>
    <n v="34"/>
    <x v="1"/>
    <s v="Travel_Rarely"/>
    <n v="1480"/>
    <x v="0"/>
    <n v="4"/>
    <n v="3"/>
    <s v="Life Sciences"/>
    <n v="1"/>
    <n v="1882"/>
    <x v="1"/>
    <s v="Male"/>
    <n v="64"/>
    <n v="3"/>
    <n v="3"/>
    <x v="0"/>
    <x v="0"/>
    <s v="Married"/>
    <n v="9713"/>
    <n v="24444"/>
    <n v="2"/>
    <s v="Y"/>
    <x v="0"/>
    <n v="13"/>
    <n v="3"/>
    <n v="4"/>
    <n v="80"/>
    <n v="3"/>
    <n v="9"/>
    <n v="3"/>
    <x v="1"/>
    <x v="8"/>
    <n v="3"/>
    <n v="1"/>
    <n v="0"/>
  </r>
  <r>
    <n v="29"/>
    <x v="1"/>
    <s v="Travel_Rarely"/>
    <n v="592"/>
    <x v="1"/>
    <n v="7"/>
    <n v="3"/>
    <s v="Life Sciences"/>
    <n v="1"/>
    <n v="1883"/>
    <x v="2"/>
    <s v="Male"/>
    <n v="59"/>
    <n v="3"/>
    <n v="1"/>
    <x v="2"/>
    <x v="3"/>
    <s v="Single"/>
    <n v="2062"/>
    <n v="19384"/>
    <n v="3"/>
    <s v="Y"/>
    <x v="1"/>
    <n v="14"/>
    <n v="3"/>
    <n v="2"/>
    <n v="80"/>
    <n v="0"/>
    <n v="11"/>
    <n v="2"/>
    <x v="1"/>
    <x v="11"/>
    <n v="2"/>
    <n v="1"/>
    <n v="2"/>
  </r>
  <r>
    <n v="37"/>
    <x v="1"/>
    <s v="Travel_Rarely"/>
    <n v="783"/>
    <x v="1"/>
    <n v="7"/>
    <n v="4"/>
    <s v="Medical"/>
    <n v="1"/>
    <n v="1885"/>
    <x v="2"/>
    <s v="Male"/>
    <n v="78"/>
    <n v="3"/>
    <n v="2"/>
    <x v="1"/>
    <x v="3"/>
    <s v="Married"/>
    <n v="4284"/>
    <n v="13588"/>
    <n v="5"/>
    <s v="Y"/>
    <x v="0"/>
    <n v="22"/>
    <n v="4"/>
    <n v="3"/>
    <n v="80"/>
    <n v="1"/>
    <n v="16"/>
    <n v="2"/>
    <x v="1"/>
    <x v="8"/>
    <n v="3"/>
    <n v="0"/>
    <n v="4"/>
  </r>
  <r>
    <n v="35"/>
    <x v="1"/>
    <s v="Travel_Rarely"/>
    <n v="219"/>
    <x v="1"/>
    <n v="16"/>
    <n v="2"/>
    <s v="Other"/>
    <n v="1"/>
    <n v="1886"/>
    <x v="2"/>
    <s v="Female"/>
    <n v="44"/>
    <n v="2"/>
    <n v="2"/>
    <x v="3"/>
    <x v="1"/>
    <s v="Married"/>
    <n v="4788"/>
    <n v="25388"/>
    <n v="0"/>
    <s v="Y"/>
    <x v="0"/>
    <n v="11"/>
    <n v="3"/>
    <n v="4"/>
    <n v="80"/>
    <n v="0"/>
    <n v="4"/>
    <n v="2"/>
    <x v="1"/>
    <x v="11"/>
    <n v="2"/>
    <n v="0"/>
    <n v="2"/>
  </r>
  <r>
    <n v="45"/>
    <x v="1"/>
    <s v="Travel_Rarely"/>
    <n v="556"/>
    <x v="1"/>
    <n v="25"/>
    <n v="2"/>
    <s v="Life Sciences"/>
    <n v="1"/>
    <n v="1888"/>
    <x v="0"/>
    <s v="Female"/>
    <n v="93"/>
    <n v="2"/>
    <n v="2"/>
    <x v="3"/>
    <x v="0"/>
    <s v="Married"/>
    <n v="5906"/>
    <n v="23888"/>
    <n v="0"/>
    <s v="Y"/>
    <x v="1"/>
    <n v="13"/>
    <n v="3"/>
    <n v="4"/>
    <n v="80"/>
    <n v="2"/>
    <n v="10"/>
    <n v="2"/>
    <x v="2"/>
    <x v="7"/>
    <n v="8"/>
    <n v="3"/>
    <n v="8"/>
  </r>
  <r>
    <n v="36"/>
    <x v="1"/>
    <s v="Travel_Frequently"/>
    <n v="1213"/>
    <x v="2"/>
    <n v="2"/>
    <n v="1"/>
    <s v="Human Resources"/>
    <n v="1"/>
    <n v="1890"/>
    <x v="0"/>
    <s v="Male"/>
    <n v="94"/>
    <n v="2"/>
    <n v="2"/>
    <x v="8"/>
    <x v="0"/>
    <s v="Single"/>
    <n v="3886"/>
    <n v="4223"/>
    <n v="1"/>
    <s v="Y"/>
    <x v="1"/>
    <n v="21"/>
    <n v="4"/>
    <n v="4"/>
    <n v="80"/>
    <n v="0"/>
    <n v="10"/>
    <n v="2"/>
    <x v="2"/>
    <x v="1"/>
    <n v="1"/>
    <n v="0"/>
    <n v="8"/>
  </r>
  <r>
    <n v="40"/>
    <x v="1"/>
    <s v="Travel_Rarely"/>
    <n v="1137"/>
    <x v="1"/>
    <n v="1"/>
    <n v="4"/>
    <s v="Life Sciences"/>
    <n v="1"/>
    <n v="1892"/>
    <x v="3"/>
    <s v="Male"/>
    <n v="98"/>
    <n v="3"/>
    <n v="4"/>
    <x v="5"/>
    <x v="3"/>
    <s v="Divorced"/>
    <n v="16823"/>
    <n v="18991"/>
    <n v="2"/>
    <s v="Y"/>
    <x v="1"/>
    <n v="11"/>
    <n v="3"/>
    <n v="1"/>
    <n v="80"/>
    <n v="1"/>
    <n v="22"/>
    <n v="3"/>
    <x v="1"/>
    <x v="27"/>
    <n v="7"/>
    <n v="11"/>
    <n v="16"/>
  </r>
  <r>
    <n v="26"/>
    <x v="1"/>
    <s v="Travel_Rarely"/>
    <n v="482"/>
    <x v="1"/>
    <n v="1"/>
    <n v="2"/>
    <s v="Life Sciences"/>
    <n v="1"/>
    <n v="1893"/>
    <x v="0"/>
    <s v="Female"/>
    <n v="90"/>
    <n v="2"/>
    <n v="1"/>
    <x v="1"/>
    <x v="2"/>
    <s v="Married"/>
    <n v="2933"/>
    <n v="14908"/>
    <n v="1"/>
    <s v="Y"/>
    <x v="0"/>
    <n v="13"/>
    <n v="3"/>
    <n v="3"/>
    <n v="80"/>
    <n v="1"/>
    <n v="1"/>
    <n v="3"/>
    <x v="2"/>
    <x v="6"/>
    <n v="0"/>
    <n v="1"/>
    <n v="0"/>
  </r>
  <r>
    <n v="27"/>
    <x v="1"/>
    <s v="Travel_Rarely"/>
    <n v="511"/>
    <x v="0"/>
    <n v="2"/>
    <n v="2"/>
    <s v="Medical"/>
    <n v="1"/>
    <n v="1898"/>
    <x v="3"/>
    <s v="Female"/>
    <n v="89"/>
    <n v="4"/>
    <n v="2"/>
    <x v="0"/>
    <x v="2"/>
    <s v="Single"/>
    <n v="6500"/>
    <n v="26997"/>
    <n v="0"/>
    <s v="Y"/>
    <x v="1"/>
    <n v="14"/>
    <n v="3"/>
    <n v="2"/>
    <n v="80"/>
    <n v="0"/>
    <n v="9"/>
    <n v="5"/>
    <x v="2"/>
    <x v="3"/>
    <n v="7"/>
    <n v="0"/>
    <n v="7"/>
  </r>
  <r>
    <n v="48"/>
    <x v="1"/>
    <s v="Travel_Frequently"/>
    <n v="117"/>
    <x v="1"/>
    <n v="22"/>
    <n v="3"/>
    <s v="Medical"/>
    <n v="1"/>
    <n v="1900"/>
    <x v="2"/>
    <s v="Female"/>
    <n v="58"/>
    <n v="3"/>
    <n v="4"/>
    <x v="5"/>
    <x v="0"/>
    <s v="Divorced"/>
    <n v="17174"/>
    <n v="2437"/>
    <n v="3"/>
    <s v="Y"/>
    <x v="1"/>
    <n v="11"/>
    <n v="3"/>
    <n v="2"/>
    <n v="80"/>
    <n v="1"/>
    <n v="24"/>
    <n v="3"/>
    <x v="1"/>
    <x v="14"/>
    <n v="17"/>
    <n v="4"/>
    <n v="7"/>
  </r>
  <r>
    <n v="44"/>
    <x v="1"/>
    <s v="Travel_Rarely"/>
    <n v="170"/>
    <x v="1"/>
    <n v="1"/>
    <n v="4"/>
    <s v="Life Sciences"/>
    <n v="1"/>
    <n v="1903"/>
    <x v="0"/>
    <s v="Male"/>
    <n v="78"/>
    <n v="4"/>
    <n v="2"/>
    <x v="4"/>
    <x v="3"/>
    <s v="Married"/>
    <n v="5033"/>
    <n v="9364"/>
    <n v="2"/>
    <s v="Y"/>
    <x v="1"/>
    <n v="15"/>
    <n v="3"/>
    <n v="4"/>
    <n v="80"/>
    <n v="1"/>
    <n v="10"/>
    <n v="5"/>
    <x v="1"/>
    <x v="4"/>
    <n v="0"/>
    <n v="2"/>
    <n v="2"/>
  </r>
  <r>
    <n v="34"/>
    <x v="0"/>
    <s v="Non-Travel"/>
    <n v="967"/>
    <x v="1"/>
    <n v="16"/>
    <n v="4"/>
    <s v="Technical Degree"/>
    <n v="1"/>
    <n v="1905"/>
    <x v="2"/>
    <s v="Male"/>
    <n v="85"/>
    <n v="1"/>
    <n v="1"/>
    <x v="1"/>
    <x v="3"/>
    <s v="Married"/>
    <n v="2307"/>
    <n v="14460"/>
    <n v="1"/>
    <s v="Y"/>
    <x v="0"/>
    <n v="23"/>
    <n v="4"/>
    <n v="2"/>
    <n v="80"/>
    <n v="1"/>
    <n v="5"/>
    <n v="2"/>
    <x v="1"/>
    <x v="8"/>
    <n v="2"/>
    <n v="3"/>
    <n v="0"/>
  </r>
  <r>
    <n v="56"/>
    <x v="0"/>
    <s v="Travel_Rarely"/>
    <n v="1162"/>
    <x v="1"/>
    <n v="24"/>
    <n v="2"/>
    <s v="Life Sciences"/>
    <n v="1"/>
    <n v="1907"/>
    <x v="3"/>
    <s v="Male"/>
    <n v="97"/>
    <n v="3"/>
    <n v="1"/>
    <x v="2"/>
    <x v="0"/>
    <s v="Single"/>
    <n v="2587"/>
    <n v="10261"/>
    <n v="1"/>
    <s v="Y"/>
    <x v="1"/>
    <n v="16"/>
    <n v="3"/>
    <n v="4"/>
    <n v="80"/>
    <n v="0"/>
    <n v="5"/>
    <n v="3"/>
    <x v="1"/>
    <x v="9"/>
    <n v="2"/>
    <n v="1"/>
    <n v="0"/>
  </r>
  <r>
    <n v="36"/>
    <x v="1"/>
    <s v="Travel_Rarely"/>
    <n v="335"/>
    <x v="0"/>
    <n v="17"/>
    <n v="2"/>
    <s v="Marketing"/>
    <n v="1"/>
    <n v="1908"/>
    <x v="1"/>
    <s v="Male"/>
    <n v="33"/>
    <n v="2"/>
    <n v="2"/>
    <x v="0"/>
    <x v="1"/>
    <s v="Married"/>
    <n v="5507"/>
    <n v="16822"/>
    <n v="2"/>
    <s v="Y"/>
    <x v="1"/>
    <n v="16"/>
    <n v="3"/>
    <n v="3"/>
    <n v="80"/>
    <n v="2"/>
    <n v="12"/>
    <n v="1"/>
    <x v="0"/>
    <x v="9"/>
    <n v="2"/>
    <n v="1"/>
    <n v="3"/>
  </r>
  <r>
    <n v="41"/>
    <x v="1"/>
    <s v="Travel_Rarely"/>
    <n v="337"/>
    <x v="0"/>
    <n v="8"/>
    <n v="3"/>
    <s v="Marketing"/>
    <n v="1"/>
    <n v="1909"/>
    <x v="1"/>
    <s v="Female"/>
    <n v="54"/>
    <n v="3"/>
    <n v="2"/>
    <x v="0"/>
    <x v="1"/>
    <s v="Married"/>
    <n v="4393"/>
    <n v="26841"/>
    <n v="5"/>
    <s v="Y"/>
    <x v="1"/>
    <n v="21"/>
    <n v="4"/>
    <n v="3"/>
    <n v="80"/>
    <n v="1"/>
    <n v="14"/>
    <n v="3"/>
    <x v="1"/>
    <x v="8"/>
    <n v="4"/>
    <n v="1"/>
    <n v="4"/>
  </r>
  <r>
    <n v="42"/>
    <x v="1"/>
    <s v="Travel_Rarely"/>
    <n v="1396"/>
    <x v="1"/>
    <n v="6"/>
    <n v="3"/>
    <s v="Medical"/>
    <n v="1"/>
    <n v="1911"/>
    <x v="1"/>
    <s v="Male"/>
    <n v="83"/>
    <n v="3"/>
    <n v="3"/>
    <x v="7"/>
    <x v="3"/>
    <s v="Married"/>
    <n v="13348"/>
    <n v="14842"/>
    <n v="9"/>
    <s v="Y"/>
    <x v="1"/>
    <n v="13"/>
    <n v="3"/>
    <n v="2"/>
    <n v="80"/>
    <n v="1"/>
    <n v="18"/>
    <n v="3"/>
    <x v="3"/>
    <x v="20"/>
    <n v="7"/>
    <n v="5"/>
    <n v="7"/>
  </r>
  <r>
    <n v="31"/>
    <x v="1"/>
    <s v="Travel_Rarely"/>
    <n v="1079"/>
    <x v="0"/>
    <n v="10"/>
    <n v="2"/>
    <s v="Medical"/>
    <n v="1"/>
    <n v="1912"/>
    <x v="1"/>
    <s v="Female"/>
    <n v="86"/>
    <n v="3"/>
    <n v="2"/>
    <x v="0"/>
    <x v="0"/>
    <s v="Divorced"/>
    <n v="6583"/>
    <n v="20115"/>
    <n v="2"/>
    <s v="Y"/>
    <x v="0"/>
    <n v="11"/>
    <n v="3"/>
    <n v="4"/>
    <n v="80"/>
    <n v="1"/>
    <n v="8"/>
    <n v="2"/>
    <x v="1"/>
    <x v="8"/>
    <n v="2"/>
    <n v="1"/>
    <n v="4"/>
  </r>
  <r>
    <n v="34"/>
    <x v="1"/>
    <s v="Travel_Rarely"/>
    <n v="735"/>
    <x v="0"/>
    <n v="3"/>
    <n v="1"/>
    <s v="Medical"/>
    <n v="1"/>
    <n v="1915"/>
    <x v="2"/>
    <s v="Female"/>
    <n v="75"/>
    <n v="2"/>
    <n v="2"/>
    <x v="0"/>
    <x v="0"/>
    <s v="Married"/>
    <n v="8103"/>
    <n v="16495"/>
    <n v="3"/>
    <s v="Y"/>
    <x v="0"/>
    <n v="12"/>
    <n v="3"/>
    <n v="3"/>
    <n v="80"/>
    <n v="0"/>
    <n v="9"/>
    <n v="3"/>
    <x v="2"/>
    <x v="9"/>
    <n v="2"/>
    <n v="0"/>
    <n v="1"/>
  </r>
  <r>
    <n v="31"/>
    <x v="1"/>
    <s v="Travel_Rarely"/>
    <n v="471"/>
    <x v="1"/>
    <n v="4"/>
    <n v="3"/>
    <s v="Medical"/>
    <n v="1"/>
    <n v="1916"/>
    <x v="3"/>
    <s v="Female"/>
    <n v="62"/>
    <n v="4"/>
    <n v="1"/>
    <x v="2"/>
    <x v="2"/>
    <s v="Divorced"/>
    <n v="3978"/>
    <n v="16031"/>
    <n v="8"/>
    <s v="Y"/>
    <x v="1"/>
    <n v="12"/>
    <n v="3"/>
    <n v="2"/>
    <n v="80"/>
    <n v="1"/>
    <n v="4"/>
    <n v="0"/>
    <x v="2"/>
    <x v="4"/>
    <n v="2"/>
    <n v="2"/>
    <n v="2"/>
  </r>
  <r>
    <n v="26"/>
    <x v="1"/>
    <s v="Travel_Frequently"/>
    <n v="1096"/>
    <x v="1"/>
    <n v="6"/>
    <n v="3"/>
    <s v="Other"/>
    <n v="1"/>
    <n v="1918"/>
    <x v="1"/>
    <s v="Male"/>
    <n v="61"/>
    <n v="4"/>
    <n v="1"/>
    <x v="2"/>
    <x v="0"/>
    <s v="Married"/>
    <n v="2544"/>
    <n v="7102"/>
    <n v="0"/>
    <s v="Y"/>
    <x v="1"/>
    <n v="18"/>
    <n v="3"/>
    <n v="1"/>
    <n v="80"/>
    <n v="1"/>
    <n v="8"/>
    <n v="3"/>
    <x v="1"/>
    <x v="5"/>
    <n v="7"/>
    <n v="7"/>
    <n v="7"/>
  </r>
  <r>
    <n v="45"/>
    <x v="1"/>
    <s v="Travel_Frequently"/>
    <n v="1297"/>
    <x v="1"/>
    <n v="1"/>
    <n v="4"/>
    <s v="Medical"/>
    <n v="1"/>
    <n v="1922"/>
    <x v="0"/>
    <s v="Male"/>
    <n v="44"/>
    <n v="3"/>
    <n v="2"/>
    <x v="4"/>
    <x v="2"/>
    <s v="Single"/>
    <n v="5399"/>
    <n v="14511"/>
    <n v="4"/>
    <s v="Y"/>
    <x v="1"/>
    <n v="12"/>
    <n v="3"/>
    <n v="3"/>
    <n v="80"/>
    <n v="0"/>
    <n v="12"/>
    <n v="3"/>
    <x v="1"/>
    <x v="9"/>
    <n v="2"/>
    <n v="0"/>
    <n v="3"/>
  </r>
  <r>
    <n v="33"/>
    <x v="1"/>
    <s v="Travel_Rarely"/>
    <n v="217"/>
    <x v="0"/>
    <n v="10"/>
    <n v="4"/>
    <s v="Marketing"/>
    <n v="1"/>
    <n v="1924"/>
    <x v="0"/>
    <s v="Male"/>
    <n v="43"/>
    <n v="3"/>
    <n v="2"/>
    <x v="0"/>
    <x v="2"/>
    <s v="Single"/>
    <n v="5487"/>
    <n v="10410"/>
    <n v="1"/>
    <s v="Y"/>
    <x v="1"/>
    <n v="14"/>
    <n v="3"/>
    <n v="2"/>
    <n v="80"/>
    <n v="0"/>
    <n v="10"/>
    <n v="2"/>
    <x v="2"/>
    <x v="1"/>
    <n v="4"/>
    <n v="0"/>
    <n v="9"/>
  </r>
  <r>
    <n v="28"/>
    <x v="1"/>
    <s v="Travel_Frequently"/>
    <n v="783"/>
    <x v="0"/>
    <n v="1"/>
    <n v="2"/>
    <s v="Life Sciences"/>
    <n v="1"/>
    <n v="1927"/>
    <x v="1"/>
    <s v="Male"/>
    <n v="42"/>
    <n v="2"/>
    <n v="2"/>
    <x v="0"/>
    <x v="0"/>
    <s v="Married"/>
    <n v="6834"/>
    <n v="19255"/>
    <n v="1"/>
    <s v="Y"/>
    <x v="0"/>
    <n v="12"/>
    <n v="3"/>
    <n v="3"/>
    <n v="80"/>
    <n v="1"/>
    <n v="7"/>
    <n v="2"/>
    <x v="1"/>
    <x v="5"/>
    <n v="7"/>
    <n v="0"/>
    <n v="7"/>
  </r>
  <r>
    <n v="29"/>
    <x v="0"/>
    <s v="Travel_Frequently"/>
    <n v="746"/>
    <x v="0"/>
    <n v="24"/>
    <n v="3"/>
    <s v="Technical Degree"/>
    <n v="1"/>
    <n v="1928"/>
    <x v="1"/>
    <s v="Male"/>
    <n v="45"/>
    <n v="4"/>
    <n v="1"/>
    <x v="6"/>
    <x v="3"/>
    <s v="Single"/>
    <n v="1091"/>
    <n v="10642"/>
    <n v="1"/>
    <s v="Y"/>
    <x v="1"/>
    <n v="17"/>
    <n v="3"/>
    <n v="4"/>
    <n v="80"/>
    <n v="0"/>
    <n v="1"/>
    <n v="3"/>
    <x v="1"/>
    <x v="6"/>
    <n v="0"/>
    <n v="0"/>
    <n v="0"/>
  </r>
  <r>
    <n v="39"/>
    <x v="1"/>
    <s v="Non-Travel"/>
    <n v="1251"/>
    <x v="0"/>
    <n v="21"/>
    <n v="4"/>
    <s v="Life Sciences"/>
    <n v="1"/>
    <n v="1929"/>
    <x v="3"/>
    <s v="Female"/>
    <n v="32"/>
    <n v="1"/>
    <n v="2"/>
    <x v="0"/>
    <x v="2"/>
    <s v="Married"/>
    <n v="5736"/>
    <n v="3987"/>
    <n v="6"/>
    <s v="Y"/>
    <x v="1"/>
    <n v="19"/>
    <n v="3"/>
    <n v="3"/>
    <n v="80"/>
    <n v="1"/>
    <n v="10"/>
    <n v="1"/>
    <x v="1"/>
    <x v="11"/>
    <n v="2"/>
    <n v="1"/>
    <n v="2"/>
  </r>
  <r>
    <n v="27"/>
    <x v="1"/>
    <s v="Travel_Rarely"/>
    <n v="1354"/>
    <x v="1"/>
    <n v="2"/>
    <n v="4"/>
    <s v="Technical Degree"/>
    <n v="1"/>
    <n v="1931"/>
    <x v="0"/>
    <s v="Male"/>
    <n v="41"/>
    <n v="3"/>
    <n v="1"/>
    <x v="1"/>
    <x v="1"/>
    <s v="Married"/>
    <n v="2226"/>
    <n v="6073"/>
    <n v="1"/>
    <s v="Y"/>
    <x v="1"/>
    <n v="11"/>
    <n v="3"/>
    <n v="3"/>
    <n v="80"/>
    <n v="1"/>
    <n v="6"/>
    <n v="3"/>
    <x v="2"/>
    <x v="8"/>
    <n v="3"/>
    <n v="1"/>
    <n v="2"/>
  </r>
  <r>
    <n v="34"/>
    <x v="1"/>
    <s v="Travel_Frequently"/>
    <n v="735"/>
    <x v="1"/>
    <n v="22"/>
    <n v="4"/>
    <s v="Other"/>
    <n v="1"/>
    <n v="1932"/>
    <x v="1"/>
    <s v="Male"/>
    <n v="86"/>
    <n v="2"/>
    <n v="2"/>
    <x v="1"/>
    <x v="0"/>
    <s v="Married"/>
    <n v="5747"/>
    <n v="26496"/>
    <n v="1"/>
    <s v="Y"/>
    <x v="0"/>
    <n v="15"/>
    <n v="3"/>
    <n v="2"/>
    <n v="80"/>
    <n v="0"/>
    <n v="16"/>
    <n v="3"/>
    <x v="1"/>
    <x v="15"/>
    <n v="10"/>
    <n v="6"/>
    <n v="11"/>
  </r>
  <r>
    <n v="28"/>
    <x v="0"/>
    <s v="Travel_Rarely"/>
    <n v="1475"/>
    <x v="0"/>
    <n v="13"/>
    <n v="2"/>
    <s v="Marketing"/>
    <n v="1"/>
    <n v="1933"/>
    <x v="2"/>
    <s v="Female"/>
    <n v="84"/>
    <n v="3"/>
    <n v="2"/>
    <x v="0"/>
    <x v="2"/>
    <s v="Single"/>
    <n v="9854"/>
    <n v="23352"/>
    <n v="3"/>
    <s v="Y"/>
    <x v="0"/>
    <n v="11"/>
    <n v="3"/>
    <n v="4"/>
    <n v="80"/>
    <n v="0"/>
    <n v="6"/>
    <n v="0"/>
    <x v="1"/>
    <x v="4"/>
    <n v="0"/>
    <n v="2"/>
    <n v="2"/>
  </r>
  <r>
    <n v="47"/>
    <x v="1"/>
    <s v="Non-Travel"/>
    <n v="1169"/>
    <x v="1"/>
    <n v="14"/>
    <n v="4"/>
    <s v="Technical Degree"/>
    <n v="1"/>
    <n v="1934"/>
    <x v="1"/>
    <s v="Male"/>
    <n v="64"/>
    <n v="3"/>
    <n v="2"/>
    <x v="1"/>
    <x v="1"/>
    <s v="Married"/>
    <n v="5467"/>
    <n v="2125"/>
    <n v="8"/>
    <s v="Y"/>
    <x v="1"/>
    <n v="18"/>
    <n v="3"/>
    <n v="3"/>
    <n v="80"/>
    <n v="1"/>
    <n v="16"/>
    <n v="4"/>
    <x v="3"/>
    <x v="3"/>
    <n v="7"/>
    <n v="1"/>
    <n v="7"/>
  </r>
  <r>
    <n v="56"/>
    <x v="1"/>
    <s v="Travel_Rarely"/>
    <n v="1443"/>
    <x v="0"/>
    <n v="11"/>
    <n v="5"/>
    <s v="Marketing"/>
    <n v="1"/>
    <n v="1935"/>
    <x v="2"/>
    <s v="Female"/>
    <n v="89"/>
    <n v="2"/>
    <n v="2"/>
    <x v="0"/>
    <x v="3"/>
    <s v="Married"/>
    <n v="5380"/>
    <n v="20328"/>
    <n v="4"/>
    <s v="Y"/>
    <x v="1"/>
    <n v="16"/>
    <n v="3"/>
    <n v="3"/>
    <n v="80"/>
    <n v="1"/>
    <n v="6"/>
    <n v="3"/>
    <x v="1"/>
    <x v="2"/>
    <n v="0"/>
    <n v="0"/>
    <n v="0"/>
  </r>
  <r>
    <n v="39"/>
    <x v="1"/>
    <s v="Travel_Rarely"/>
    <n v="867"/>
    <x v="1"/>
    <n v="9"/>
    <n v="2"/>
    <s v="Medical"/>
    <n v="1"/>
    <n v="1936"/>
    <x v="3"/>
    <s v="Male"/>
    <n v="87"/>
    <n v="3"/>
    <n v="2"/>
    <x v="3"/>
    <x v="3"/>
    <s v="Married"/>
    <n v="5151"/>
    <n v="12315"/>
    <n v="1"/>
    <s v="Y"/>
    <x v="1"/>
    <n v="25"/>
    <n v="4"/>
    <n v="4"/>
    <n v="80"/>
    <n v="1"/>
    <n v="10"/>
    <n v="3"/>
    <x v="1"/>
    <x v="1"/>
    <n v="0"/>
    <n v="7"/>
    <n v="9"/>
  </r>
  <r>
    <n v="38"/>
    <x v="1"/>
    <s v="Travel_Frequently"/>
    <n v="1394"/>
    <x v="1"/>
    <n v="8"/>
    <n v="3"/>
    <s v="Medical"/>
    <n v="1"/>
    <n v="1937"/>
    <x v="2"/>
    <s v="Female"/>
    <n v="58"/>
    <n v="2"/>
    <n v="2"/>
    <x v="1"/>
    <x v="1"/>
    <s v="Divorced"/>
    <n v="2133"/>
    <n v="18115"/>
    <n v="1"/>
    <s v="Y"/>
    <x v="0"/>
    <n v="16"/>
    <n v="3"/>
    <n v="3"/>
    <n v="80"/>
    <n v="1"/>
    <n v="20"/>
    <n v="3"/>
    <x v="1"/>
    <x v="23"/>
    <n v="11"/>
    <n v="0"/>
    <n v="7"/>
  </r>
  <r>
    <n v="58"/>
    <x v="1"/>
    <s v="Travel_Rarely"/>
    <n v="605"/>
    <x v="0"/>
    <n v="21"/>
    <n v="3"/>
    <s v="Life Sciences"/>
    <n v="1"/>
    <n v="1938"/>
    <x v="2"/>
    <s v="Female"/>
    <n v="72"/>
    <n v="3"/>
    <n v="4"/>
    <x v="5"/>
    <x v="0"/>
    <s v="Married"/>
    <n v="17875"/>
    <n v="11761"/>
    <n v="4"/>
    <s v="Y"/>
    <x v="0"/>
    <n v="13"/>
    <n v="3"/>
    <n v="3"/>
    <n v="80"/>
    <n v="1"/>
    <n v="29"/>
    <n v="2"/>
    <x v="2"/>
    <x v="6"/>
    <n v="0"/>
    <n v="0"/>
    <n v="0"/>
  </r>
  <r>
    <n v="32"/>
    <x v="0"/>
    <s v="Travel_Frequently"/>
    <n v="238"/>
    <x v="1"/>
    <n v="5"/>
    <n v="2"/>
    <s v="Life Sciences"/>
    <n v="1"/>
    <n v="1939"/>
    <x v="3"/>
    <s v="Female"/>
    <n v="47"/>
    <n v="4"/>
    <n v="1"/>
    <x v="1"/>
    <x v="2"/>
    <s v="Single"/>
    <n v="2432"/>
    <n v="15318"/>
    <n v="3"/>
    <s v="Y"/>
    <x v="0"/>
    <n v="14"/>
    <n v="3"/>
    <n v="1"/>
    <n v="80"/>
    <n v="0"/>
    <n v="8"/>
    <n v="2"/>
    <x v="1"/>
    <x v="9"/>
    <n v="1"/>
    <n v="0"/>
    <n v="3"/>
  </r>
  <r>
    <n v="38"/>
    <x v="1"/>
    <s v="Travel_Rarely"/>
    <n v="1206"/>
    <x v="1"/>
    <n v="9"/>
    <n v="2"/>
    <s v="Life Sciences"/>
    <n v="1"/>
    <n v="1940"/>
    <x v="0"/>
    <s v="Male"/>
    <n v="71"/>
    <n v="3"/>
    <n v="1"/>
    <x v="1"/>
    <x v="0"/>
    <s v="Divorced"/>
    <n v="4771"/>
    <n v="14293"/>
    <n v="2"/>
    <s v="Y"/>
    <x v="1"/>
    <n v="19"/>
    <n v="3"/>
    <n v="4"/>
    <n v="80"/>
    <n v="2"/>
    <n v="10"/>
    <n v="0"/>
    <x v="3"/>
    <x v="8"/>
    <n v="2"/>
    <n v="0"/>
    <n v="3"/>
  </r>
  <r>
    <n v="49"/>
    <x v="1"/>
    <s v="Travel_Frequently"/>
    <n v="1064"/>
    <x v="1"/>
    <n v="2"/>
    <n v="1"/>
    <s v="Life Sciences"/>
    <n v="1"/>
    <n v="1941"/>
    <x v="0"/>
    <s v="Male"/>
    <n v="42"/>
    <n v="3"/>
    <n v="5"/>
    <x v="7"/>
    <x v="0"/>
    <s v="Married"/>
    <n v="19161"/>
    <n v="13738"/>
    <n v="3"/>
    <s v="Y"/>
    <x v="1"/>
    <n v="15"/>
    <n v="3"/>
    <n v="4"/>
    <n v="80"/>
    <n v="0"/>
    <n v="28"/>
    <n v="3"/>
    <x v="1"/>
    <x v="8"/>
    <n v="4"/>
    <n v="4"/>
    <n v="3"/>
  </r>
  <r>
    <n v="42"/>
    <x v="1"/>
    <s v="Travel_Rarely"/>
    <n v="419"/>
    <x v="0"/>
    <n v="12"/>
    <n v="4"/>
    <s v="Marketing"/>
    <n v="1"/>
    <n v="1943"/>
    <x v="0"/>
    <s v="Male"/>
    <n v="77"/>
    <n v="3"/>
    <n v="2"/>
    <x v="0"/>
    <x v="0"/>
    <s v="Divorced"/>
    <n v="5087"/>
    <n v="2900"/>
    <n v="3"/>
    <s v="Y"/>
    <x v="0"/>
    <n v="12"/>
    <n v="3"/>
    <n v="3"/>
    <n v="80"/>
    <n v="2"/>
    <n v="14"/>
    <n v="4"/>
    <x v="1"/>
    <x v="2"/>
    <n v="0"/>
    <n v="0"/>
    <n v="0"/>
  </r>
  <r>
    <n v="27"/>
    <x v="0"/>
    <s v="Travel_Frequently"/>
    <n v="1337"/>
    <x v="2"/>
    <n v="22"/>
    <n v="3"/>
    <s v="Human Resources"/>
    <n v="1"/>
    <n v="1944"/>
    <x v="3"/>
    <s v="Female"/>
    <n v="58"/>
    <n v="2"/>
    <n v="1"/>
    <x v="8"/>
    <x v="1"/>
    <s v="Married"/>
    <n v="2863"/>
    <n v="19555"/>
    <n v="1"/>
    <s v="Y"/>
    <x v="1"/>
    <n v="12"/>
    <n v="3"/>
    <n v="1"/>
    <n v="80"/>
    <n v="0"/>
    <n v="1"/>
    <n v="2"/>
    <x v="1"/>
    <x v="6"/>
    <n v="0"/>
    <n v="0"/>
    <n v="0"/>
  </r>
  <r>
    <n v="35"/>
    <x v="1"/>
    <s v="Travel_Rarely"/>
    <n v="682"/>
    <x v="0"/>
    <n v="18"/>
    <n v="4"/>
    <s v="Medical"/>
    <n v="1"/>
    <n v="1945"/>
    <x v="0"/>
    <s v="Male"/>
    <n v="71"/>
    <n v="3"/>
    <n v="2"/>
    <x v="0"/>
    <x v="3"/>
    <s v="Married"/>
    <n v="5561"/>
    <n v="15975"/>
    <n v="0"/>
    <s v="Y"/>
    <x v="1"/>
    <n v="16"/>
    <n v="3"/>
    <n v="4"/>
    <n v="80"/>
    <n v="1"/>
    <n v="6"/>
    <n v="2"/>
    <x v="0"/>
    <x v="8"/>
    <n v="3"/>
    <n v="0"/>
    <n v="4"/>
  </r>
  <r>
    <n v="28"/>
    <x v="1"/>
    <s v="Non-Travel"/>
    <n v="1103"/>
    <x v="1"/>
    <n v="16"/>
    <n v="3"/>
    <s v="Medical"/>
    <n v="1"/>
    <n v="1947"/>
    <x v="1"/>
    <s v="Male"/>
    <n v="49"/>
    <n v="3"/>
    <n v="1"/>
    <x v="1"/>
    <x v="2"/>
    <s v="Single"/>
    <n v="2144"/>
    <n v="2122"/>
    <n v="1"/>
    <s v="Y"/>
    <x v="1"/>
    <n v="14"/>
    <n v="3"/>
    <n v="3"/>
    <n v="80"/>
    <n v="0"/>
    <n v="5"/>
    <n v="3"/>
    <x v="2"/>
    <x v="8"/>
    <n v="3"/>
    <n v="1"/>
    <n v="4"/>
  </r>
  <r>
    <n v="31"/>
    <x v="1"/>
    <s v="Non-Travel"/>
    <n v="976"/>
    <x v="1"/>
    <n v="3"/>
    <n v="2"/>
    <s v="Medical"/>
    <n v="1"/>
    <n v="1948"/>
    <x v="1"/>
    <s v="Male"/>
    <n v="48"/>
    <n v="3"/>
    <n v="1"/>
    <x v="1"/>
    <x v="3"/>
    <s v="Divorced"/>
    <n v="3065"/>
    <n v="3995"/>
    <n v="1"/>
    <s v="Y"/>
    <x v="0"/>
    <n v="13"/>
    <n v="3"/>
    <n v="4"/>
    <n v="80"/>
    <n v="1"/>
    <n v="4"/>
    <n v="3"/>
    <x v="3"/>
    <x v="9"/>
    <n v="2"/>
    <n v="2"/>
    <n v="3"/>
  </r>
  <r>
    <n v="36"/>
    <x v="1"/>
    <s v="Non-Travel"/>
    <n v="1351"/>
    <x v="1"/>
    <n v="9"/>
    <n v="4"/>
    <s v="Life Sciences"/>
    <n v="1"/>
    <n v="1949"/>
    <x v="3"/>
    <s v="Male"/>
    <n v="66"/>
    <n v="4"/>
    <n v="1"/>
    <x v="2"/>
    <x v="1"/>
    <s v="Married"/>
    <n v="2810"/>
    <n v="9238"/>
    <n v="1"/>
    <s v="Y"/>
    <x v="1"/>
    <n v="22"/>
    <n v="4"/>
    <n v="2"/>
    <n v="80"/>
    <n v="0"/>
    <n v="5"/>
    <n v="3"/>
    <x v="1"/>
    <x v="8"/>
    <n v="4"/>
    <n v="0"/>
    <n v="2"/>
  </r>
  <r>
    <n v="34"/>
    <x v="1"/>
    <s v="Travel_Rarely"/>
    <n v="937"/>
    <x v="0"/>
    <n v="1"/>
    <n v="3"/>
    <s v="Marketing"/>
    <n v="1"/>
    <n v="1950"/>
    <x v="3"/>
    <s v="Male"/>
    <n v="32"/>
    <n v="3"/>
    <n v="3"/>
    <x v="0"/>
    <x v="0"/>
    <s v="Single"/>
    <n v="9888"/>
    <n v="6770"/>
    <n v="1"/>
    <s v="Y"/>
    <x v="1"/>
    <n v="21"/>
    <n v="4"/>
    <n v="1"/>
    <n v="80"/>
    <n v="0"/>
    <n v="14"/>
    <n v="3"/>
    <x v="2"/>
    <x v="13"/>
    <n v="8"/>
    <n v="2"/>
    <n v="1"/>
  </r>
  <r>
    <n v="34"/>
    <x v="1"/>
    <s v="Travel_Rarely"/>
    <n v="1239"/>
    <x v="0"/>
    <n v="13"/>
    <n v="4"/>
    <s v="Medical"/>
    <n v="1"/>
    <n v="1951"/>
    <x v="2"/>
    <s v="Male"/>
    <n v="39"/>
    <n v="3"/>
    <n v="3"/>
    <x v="0"/>
    <x v="2"/>
    <s v="Divorced"/>
    <n v="8628"/>
    <n v="22914"/>
    <n v="1"/>
    <s v="Y"/>
    <x v="1"/>
    <n v="18"/>
    <n v="3"/>
    <n v="3"/>
    <n v="80"/>
    <n v="1"/>
    <n v="9"/>
    <n v="2"/>
    <x v="2"/>
    <x v="3"/>
    <n v="7"/>
    <n v="1"/>
    <n v="1"/>
  </r>
  <r>
    <n v="26"/>
    <x v="1"/>
    <s v="Travel_Rarely"/>
    <n v="157"/>
    <x v="1"/>
    <n v="1"/>
    <n v="3"/>
    <s v="Medical"/>
    <n v="1"/>
    <n v="1952"/>
    <x v="1"/>
    <s v="Male"/>
    <n v="95"/>
    <n v="3"/>
    <n v="1"/>
    <x v="2"/>
    <x v="3"/>
    <s v="Single"/>
    <n v="2867"/>
    <n v="20006"/>
    <n v="0"/>
    <s v="Y"/>
    <x v="1"/>
    <n v="13"/>
    <n v="3"/>
    <n v="4"/>
    <n v="80"/>
    <n v="0"/>
    <n v="8"/>
    <n v="6"/>
    <x v="2"/>
    <x v="5"/>
    <n v="7"/>
    <n v="7"/>
    <n v="6"/>
  </r>
  <r>
    <n v="29"/>
    <x v="1"/>
    <s v="Travel_Rarely"/>
    <n v="136"/>
    <x v="1"/>
    <n v="1"/>
    <n v="3"/>
    <s v="Life Sciences"/>
    <n v="1"/>
    <n v="1954"/>
    <x v="3"/>
    <s v="Male"/>
    <n v="89"/>
    <n v="3"/>
    <n v="2"/>
    <x v="4"/>
    <x v="3"/>
    <s v="Married"/>
    <n v="5373"/>
    <n v="6225"/>
    <n v="0"/>
    <s v="Y"/>
    <x v="1"/>
    <n v="12"/>
    <n v="3"/>
    <n v="1"/>
    <n v="80"/>
    <n v="1"/>
    <n v="6"/>
    <n v="5"/>
    <x v="2"/>
    <x v="8"/>
    <n v="3"/>
    <n v="0"/>
    <n v="2"/>
  </r>
  <r>
    <n v="32"/>
    <x v="1"/>
    <s v="Non-Travel"/>
    <n v="1146"/>
    <x v="1"/>
    <n v="15"/>
    <n v="4"/>
    <s v="Medical"/>
    <n v="1"/>
    <n v="1955"/>
    <x v="1"/>
    <s v="Female"/>
    <n v="34"/>
    <n v="3"/>
    <n v="2"/>
    <x v="4"/>
    <x v="0"/>
    <s v="Divorced"/>
    <n v="6667"/>
    <n v="16542"/>
    <n v="5"/>
    <s v="Y"/>
    <x v="1"/>
    <n v="18"/>
    <n v="3"/>
    <n v="2"/>
    <n v="80"/>
    <n v="1"/>
    <n v="9"/>
    <n v="6"/>
    <x v="1"/>
    <x v="8"/>
    <n v="1"/>
    <n v="1"/>
    <n v="2"/>
  </r>
  <r>
    <n v="31"/>
    <x v="1"/>
    <s v="Travel_Frequently"/>
    <n v="1125"/>
    <x v="1"/>
    <n v="1"/>
    <n v="3"/>
    <s v="Life Sciences"/>
    <n v="1"/>
    <n v="1956"/>
    <x v="2"/>
    <s v="Male"/>
    <n v="48"/>
    <n v="1"/>
    <n v="2"/>
    <x v="1"/>
    <x v="3"/>
    <s v="Married"/>
    <n v="5003"/>
    <n v="5771"/>
    <n v="1"/>
    <s v="Y"/>
    <x v="1"/>
    <n v="21"/>
    <n v="4"/>
    <n v="2"/>
    <n v="80"/>
    <n v="0"/>
    <n v="10"/>
    <n v="6"/>
    <x v="1"/>
    <x v="1"/>
    <n v="8"/>
    <n v="8"/>
    <n v="7"/>
  </r>
  <r>
    <n v="28"/>
    <x v="0"/>
    <s v="Travel_Rarely"/>
    <n v="1404"/>
    <x v="1"/>
    <n v="17"/>
    <n v="3"/>
    <s v="Technical Degree"/>
    <n v="1"/>
    <n v="1960"/>
    <x v="1"/>
    <s v="Male"/>
    <n v="32"/>
    <n v="2"/>
    <n v="1"/>
    <x v="2"/>
    <x v="0"/>
    <s v="Divorced"/>
    <n v="2367"/>
    <n v="18779"/>
    <n v="5"/>
    <s v="Y"/>
    <x v="1"/>
    <n v="12"/>
    <n v="3"/>
    <n v="1"/>
    <n v="80"/>
    <n v="1"/>
    <n v="6"/>
    <n v="2"/>
    <x v="2"/>
    <x v="9"/>
    <n v="1"/>
    <n v="0"/>
    <n v="3"/>
  </r>
  <r>
    <n v="38"/>
    <x v="1"/>
    <s v="Travel_Rarely"/>
    <n v="1404"/>
    <x v="0"/>
    <n v="1"/>
    <n v="3"/>
    <s v="Life Sciences"/>
    <n v="1"/>
    <n v="1961"/>
    <x v="3"/>
    <s v="Male"/>
    <n v="59"/>
    <n v="2"/>
    <n v="1"/>
    <x v="6"/>
    <x v="3"/>
    <s v="Single"/>
    <n v="2858"/>
    <n v="11473"/>
    <n v="4"/>
    <s v="Y"/>
    <x v="1"/>
    <n v="14"/>
    <n v="3"/>
    <n v="1"/>
    <n v="80"/>
    <n v="0"/>
    <n v="20"/>
    <n v="3"/>
    <x v="2"/>
    <x v="6"/>
    <n v="0"/>
    <n v="0"/>
    <n v="0"/>
  </r>
  <r>
    <n v="35"/>
    <x v="1"/>
    <s v="Travel_Rarely"/>
    <n v="1224"/>
    <x v="0"/>
    <n v="7"/>
    <n v="4"/>
    <s v="Life Sciences"/>
    <n v="1"/>
    <n v="1962"/>
    <x v="1"/>
    <s v="Female"/>
    <n v="55"/>
    <n v="3"/>
    <n v="2"/>
    <x v="0"/>
    <x v="0"/>
    <s v="Married"/>
    <n v="5204"/>
    <n v="13586"/>
    <n v="1"/>
    <s v="Y"/>
    <x v="0"/>
    <n v="11"/>
    <n v="3"/>
    <n v="4"/>
    <n v="80"/>
    <n v="0"/>
    <n v="10"/>
    <n v="2"/>
    <x v="1"/>
    <x v="1"/>
    <n v="8"/>
    <n v="0"/>
    <n v="9"/>
  </r>
  <r>
    <n v="27"/>
    <x v="1"/>
    <s v="Travel_Rarely"/>
    <n v="954"/>
    <x v="0"/>
    <n v="9"/>
    <n v="3"/>
    <s v="Marketing"/>
    <n v="1"/>
    <n v="1965"/>
    <x v="2"/>
    <s v="Male"/>
    <n v="44"/>
    <n v="3"/>
    <n v="2"/>
    <x v="0"/>
    <x v="0"/>
    <s v="Single"/>
    <n v="4105"/>
    <n v="5099"/>
    <n v="1"/>
    <s v="Y"/>
    <x v="1"/>
    <n v="14"/>
    <n v="3"/>
    <n v="1"/>
    <n v="80"/>
    <n v="0"/>
    <n v="7"/>
    <n v="5"/>
    <x v="1"/>
    <x v="5"/>
    <n v="7"/>
    <n v="0"/>
    <n v="7"/>
  </r>
  <r>
    <n v="32"/>
    <x v="1"/>
    <s v="Travel_Rarely"/>
    <n v="1373"/>
    <x v="1"/>
    <n v="5"/>
    <n v="4"/>
    <s v="Life Sciences"/>
    <n v="1"/>
    <n v="1966"/>
    <x v="2"/>
    <s v="Male"/>
    <n v="56"/>
    <n v="2"/>
    <n v="2"/>
    <x v="3"/>
    <x v="0"/>
    <s v="Single"/>
    <n v="9679"/>
    <n v="10138"/>
    <n v="8"/>
    <s v="Y"/>
    <x v="1"/>
    <n v="24"/>
    <n v="4"/>
    <n v="2"/>
    <n v="80"/>
    <n v="0"/>
    <n v="8"/>
    <n v="1"/>
    <x v="1"/>
    <x v="6"/>
    <n v="0"/>
    <n v="0"/>
    <n v="0"/>
  </r>
  <r>
    <n v="31"/>
    <x v="0"/>
    <s v="Travel_Frequently"/>
    <n v="754"/>
    <x v="0"/>
    <n v="26"/>
    <n v="4"/>
    <s v="Marketing"/>
    <n v="1"/>
    <n v="1967"/>
    <x v="3"/>
    <s v="Male"/>
    <n v="63"/>
    <n v="3"/>
    <n v="2"/>
    <x v="0"/>
    <x v="0"/>
    <s v="Married"/>
    <n v="5617"/>
    <n v="21075"/>
    <n v="1"/>
    <s v="Y"/>
    <x v="0"/>
    <n v="11"/>
    <n v="3"/>
    <n v="3"/>
    <n v="80"/>
    <n v="0"/>
    <n v="10"/>
    <n v="4"/>
    <x v="1"/>
    <x v="1"/>
    <n v="7"/>
    <n v="0"/>
    <n v="8"/>
  </r>
  <r>
    <n v="53"/>
    <x v="0"/>
    <s v="Travel_Rarely"/>
    <n v="1168"/>
    <x v="0"/>
    <n v="24"/>
    <n v="4"/>
    <s v="Life Sciences"/>
    <n v="1"/>
    <n v="1968"/>
    <x v="3"/>
    <s v="Male"/>
    <n v="66"/>
    <n v="3"/>
    <n v="3"/>
    <x v="0"/>
    <x v="3"/>
    <s v="Single"/>
    <n v="10448"/>
    <n v="5843"/>
    <n v="6"/>
    <s v="Y"/>
    <x v="0"/>
    <n v="13"/>
    <n v="3"/>
    <n v="2"/>
    <n v="80"/>
    <n v="0"/>
    <n v="15"/>
    <n v="2"/>
    <x v="2"/>
    <x v="4"/>
    <n v="2"/>
    <n v="2"/>
    <n v="2"/>
  </r>
  <r>
    <n v="54"/>
    <x v="1"/>
    <s v="Travel_Rarely"/>
    <n v="155"/>
    <x v="1"/>
    <n v="9"/>
    <n v="2"/>
    <s v="Life Sciences"/>
    <n v="1"/>
    <n v="1969"/>
    <x v="3"/>
    <s v="Female"/>
    <n v="67"/>
    <n v="3"/>
    <n v="2"/>
    <x v="1"/>
    <x v="2"/>
    <s v="Married"/>
    <n v="2897"/>
    <n v="22474"/>
    <n v="3"/>
    <s v="Y"/>
    <x v="1"/>
    <n v="11"/>
    <n v="3"/>
    <n v="3"/>
    <n v="80"/>
    <n v="2"/>
    <n v="9"/>
    <n v="6"/>
    <x v="2"/>
    <x v="9"/>
    <n v="3"/>
    <n v="2"/>
    <n v="3"/>
  </r>
  <r>
    <n v="33"/>
    <x v="1"/>
    <s v="Travel_Frequently"/>
    <n v="1303"/>
    <x v="1"/>
    <n v="7"/>
    <n v="2"/>
    <s v="Life Sciences"/>
    <n v="1"/>
    <n v="1970"/>
    <x v="2"/>
    <s v="Male"/>
    <n v="36"/>
    <n v="3"/>
    <n v="2"/>
    <x v="4"/>
    <x v="2"/>
    <s v="Divorced"/>
    <n v="5968"/>
    <n v="18079"/>
    <n v="1"/>
    <s v="Y"/>
    <x v="1"/>
    <n v="20"/>
    <n v="4"/>
    <n v="3"/>
    <n v="80"/>
    <n v="3"/>
    <n v="9"/>
    <n v="2"/>
    <x v="1"/>
    <x v="7"/>
    <n v="7"/>
    <n v="2"/>
    <n v="8"/>
  </r>
  <r>
    <n v="43"/>
    <x v="1"/>
    <s v="Travel_Rarely"/>
    <n v="574"/>
    <x v="1"/>
    <n v="11"/>
    <n v="3"/>
    <s v="Life Sciences"/>
    <n v="1"/>
    <n v="1971"/>
    <x v="3"/>
    <s v="Male"/>
    <n v="30"/>
    <n v="3"/>
    <n v="3"/>
    <x v="4"/>
    <x v="2"/>
    <s v="Married"/>
    <n v="7510"/>
    <n v="16873"/>
    <n v="1"/>
    <s v="Y"/>
    <x v="1"/>
    <n v="17"/>
    <n v="3"/>
    <n v="2"/>
    <n v="80"/>
    <n v="1"/>
    <n v="10"/>
    <n v="1"/>
    <x v="1"/>
    <x v="1"/>
    <n v="9"/>
    <n v="0"/>
    <n v="9"/>
  </r>
  <r>
    <n v="38"/>
    <x v="1"/>
    <s v="Travel_Frequently"/>
    <n v="1444"/>
    <x v="2"/>
    <n v="1"/>
    <n v="4"/>
    <s v="Other"/>
    <n v="1"/>
    <n v="1972"/>
    <x v="2"/>
    <s v="Male"/>
    <n v="88"/>
    <n v="3"/>
    <n v="1"/>
    <x v="8"/>
    <x v="1"/>
    <s v="Married"/>
    <n v="2991"/>
    <n v="5224"/>
    <n v="0"/>
    <s v="Y"/>
    <x v="0"/>
    <n v="11"/>
    <n v="3"/>
    <n v="2"/>
    <n v="80"/>
    <n v="1"/>
    <n v="7"/>
    <n v="2"/>
    <x v="1"/>
    <x v="0"/>
    <n v="2"/>
    <n v="1"/>
    <n v="2"/>
  </r>
  <r>
    <n v="55"/>
    <x v="1"/>
    <s v="Travel_Rarely"/>
    <n v="189"/>
    <x v="2"/>
    <n v="26"/>
    <n v="4"/>
    <s v="Human Resources"/>
    <n v="1"/>
    <n v="1973"/>
    <x v="1"/>
    <s v="Male"/>
    <n v="71"/>
    <n v="4"/>
    <n v="5"/>
    <x v="5"/>
    <x v="1"/>
    <s v="Married"/>
    <n v="19636"/>
    <n v="25811"/>
    <n v="4"/>
    <s v="Y"/>
    <x v="0"/>
    <n v="18"/>
    <n v="3"/>
    <n v="1"/>
    <n v="80"/>
    <n v="1"/>
    <n v="35"/>
    <n v="0"/>
    <x v="1"/>
    <x v="1"/>
    <n v="9"/>
    <n v="1"/>
    <n v="4"/>
  </r>
  <r>
    <n v="31"/>
    <x v="1"/>
    <s v="Travel_Rarely"/>
    <n v="1276"/>
    <x v="1"/>
    <n v="2"/>
    <n v="1"/>
    <s v="Medical"/>
    <n v="1"/>
    <n v="1974"/>
    <x v="2"/>
    <s v="Female"/>
    <n v="59"/>
    <n v="1"/>
    <n v="1"/>
    <x v="2"/>
    <x v="0"/>
    <s v="Divorced"/>
    <n v="1129"/>
    <n v="17536"/>
    <n v="1"/>
    <s v="Y"/>
    <x v="0"/>
    <n v="11"/>
    <n v="3"/>
    <n v="3"/>
    <n v="80"/>
    <n v="3"/>
    <n v="1"/>
    <n v="4"/>
    <x v="1"/>
    <x v="6"/>
    <n v="0"/>
    <n v="0"/>
    <n v="0"/>
  </r>
  <r>
    <n v="39"/>
    <x v="1"/>
    <s v="Travel_Rarely"/>
    <n v="119"/>
    <x v="0"/>
    <n v="15"/>
    <n v="4"/>
    <s v="Marketing"/>
    <n v="1"/>
    <n v="1975"/>
    <x v="0"/>
    <s v="Male"/>
    <n v="77"/>
    <n v="3"/>
    <n v="4"/>
    <x v="0"/>
    <x v="3"/>
    <s v="Single"/>
    <n v="13341"/>
    <n v="25098"/>
    <n v="0"/>
    <s v="Y"/>
    <x v="1"/>
    <n v="12"/>
    <n v="3"/>
    <n v="1"/>
    <n v="80"/>
    <n v="0"/>
    <n v="21"/>
    <n v="3"/>
    <x v="1"/>
    <x v="23"/>
    <n v="8"/>
    <n v="11"/>
    <n v="10"/>
  </r>
  <r>
    <n v="42"/>
    <x v="1"/>
    <s v="Non-Travel"/>
    <n v="335"/>
    <x v="1"/>
    <n v="23"/>
    <n v="2"/>
    <s v="Life Sciences"/>
    <n v="1"/>
    <n v="1976"/>
    <x v="2"/>
    <s v="Male"/>
    <n v="37"/>
    <n v="2"/>
    <n v="2"/>
    <x v="1"/>
    <x v="2"/>
    <s v="Single"/>
    <n v="4332"/>
    <n v="14811"/>
    <n v="1"/>
    <s v="Y"/>
    <x v="1"/>
    <n v="12"/>
    <n v="3"/>
    <n v="4"/>
    <n v="80"/>
    <n v="0"/>
    <n v="20"/>
    <n v="2"/>
    <x v="1"/>
    <x v="23"/>
    <n v="9"/>
    <n v="3"/>
    <n v="7"/>
  </r>
  <r>
    <n v="31"/>
    <x v="1"/>
    <s v="Non-Travel"/>
    <n v="697"/>
    <x v="1"/>
    <n v="10"/>
    <n v="3"/>
    <s v="Medical"/>
    <n v="1"/>
    <n v="1979"/>
    <x v="1"/>
    <s v="Female"/>
    <n v="40"/>
    <n v="3"/>
    <n v="3"/>
    <x v="7"/>
    <x v="2"/>
    <s v="Married"/>
    <n v="11031"/>
    <n v="26862"/>
    <n v="4"/>
    <s v="Y"/>
    <x v="1"/>
    <n v="20"/>
    <n v="4"/>
    <n v="3"/>
    <n v="80"/>
    <n v="1"/>
    <n v="13"/>
    <n v="2"/>
    <x v="3"/>
    <x v="19"/>
    <n v="7"/>
    <n v="4"/>
    <n v="8"/>
  </r>
  <r>
    <n v="54"/>
    <x v="1"/>
    <s v="Travel_Rarely"/>
    <n v="157"/>
    <x v="1"/>
    <n v="10"/>
    <n v="3"/>
    <s v="Medical"/>
    <n v="1"/>
    <n v="1980"/>
    <x v="1"/>
    <s v="Female"/>
    <n v="77"/>
    <n v="3"/>
    <n v="2"/>
    <x v="3"/>
    <x v="3"/>
    <s v="Single"/>
    <n v="4440"/>
    <n v="25198"/>
    <n v="6"/>
    <s v="Y"/>
    <x v="0"/>
    <n v="19"/>
    <n v="3"/>
    <n v="4"/>
    <n v="80"/>
    <n v="0"/>
    <n v="9"/>
    <n v="3"/>
    <x v="1"/>
    <x v="8"/>
    <n v="2"/>
    <n v="1"/>
    <n v="4"/>
  </r>
  <r>
    <n v="24"/>
    <x v="1"/>
    <s v="Travel_Rarely"/>
    <n v="771"/>
    <x v="1"/>
    <n v="1"/>
    <n v="2"/>
    <s v="Life Sciences"/>
    <n v="1"/>
    <n v="1981"/>
    <x v="0"/>
    <s v="Male"/>
    <n v="45"/>
    <n v="2"/>
    <n v="2"/>
    <x v="4"/>
    <x v="2"/>
    <s v="Single"/>
    <n v="4617"/>
    <n v="14120"/>
    <n v="1"/>
    <s v="Y"/>
    <x v="1"/>
    <n v="12"/>
    <n v="3"/>
    <n v="2"/>
    <n v="80"/>
    <n v="0"/>
    <n v="4"/>
    <n v="2"/>
    <x v="2"/>
    <x v="9"/>
    <n v="3"/>
    <n v="1"/>
    <n v="2"/>
  </r>
  <r>
    <n v="23"/>
    <x v="1"/>
    <s v="Travel_Rarely"/>
    <n v="571"/>
    <x v="1"/>
    <n v="12"/>
    <n v="2"/>
    <s v="Other"/>
    <n v="1"/>
    <n v="1982"/>
    <x v="2"/>
    <s v="Male"/>
    <n v="78"/>
    <n v="3"/>
    <n v="1"/>
    <x v="2"/>
    <x v="0"/>
    <s v="Single"/>
    <n v="2647"/>
    <n v="13672"/>
    <n v="1"/>
    <s v="Y"/>
    <x v="1"/>
    <n v="13"/>
    <n v="3"/>
    <n v="3"/>
    <n v="80"/>
    <n v="0"/>
    <n v="5"/>
    <n v="6"/>
    <x v="3"/>
    <x v="8"/>
    <n v="2"/>
    <n v="1"/>
    <n v="4"/>
  </r>
  <r>
    <n v="40"/>
    <x v="1"/>
    <s v="Travel_Frequently"/>
    <n v="692"/>
    <x v="1"/>
    <n v="11"/>
    <n v="3"/>
    <s v="Technical Degree"/>
    <n v="1"/>
    <n v="1985"/>
    <x v="2"/>
    <s v="Female"/>
    <n v="73"/>
    <n v="3"/>
    <n v="2"/>
    <x v="2"/>
    <x v="2"/>
    <s v="Married"/>
    <n v="6323"/>
    <n v="26849"/>
    <n v="1"/>
    <s v="Y"/>
    <x v="1"/>
    <n v="11"/>
    <n v="3"/>
    <n v="1"/>
    <n v="80"/>
    <n v="1"/>
    <n v="10"/>
    <n v="2"/>
    <x v="3"/>
    <x v="1"/>
    <n v="9"/>
    <n v="9"/>
    <n v="4"/>
  </r>
  <r>
    <n v="40"/>
    <x v="1"/>
    <s v="Travel_Rarely"/>
    <n v="444"/>
    <x v="0"/>
    <n v="2"/>
    <n v="2"/>
    <s v="Marketing"/>
    <n v="1"/>
    <n v="1986"/>
    <x v="0"/>
    <s v="Female"/>
    <n v="92"/>
    <n v="3"/>
    <n v="2"/>
    <x v="0"/>
    <x v="1"/>
    <s v="Married"/>
    <n v="5677"/>
    <n v="4258"/>
    <n v="3"/>
    <s v="Y"/>
    <x v="1"/>
    <n v="14"/>
    <n v="3"/>
    <n v="3"/>
    <n v="80"/>
    <n v="1"/>
    <n v="15"/>
    <n v="4"/>
    <x v="1"/>
    <x v="19"/>
    <n v="8"/>
    <n v="5"/>
    <n v="10"/>
  </r>
  <r>
    <n v="25"/>
    <x v="1"/>
    <s v="Travel_Rarely"/>
    <n v="309"/>
    <x v="2"/>
    <n v="2"/>
    <n v="3"/>
    <s v="Human Resources"/>
    <n v="1"/>
    <n v="1987"/>
    <x v="1"/>
    <s v="Female"/>
    <n v="82"/>
    <n v="3"/>
    <n v="1"/>
    <x v="8"/>
    <x v="1"/>
    <s v="Married"/>
    <n v="2187"/>
    <n v="19655"/>
    <n v="4"/>
    <s v="Y"/>
    <x v="1"/>
    <n v="14"/>
    <n v="3"/>
    <n v="3"/>
    <n v="80"/>
    <n v="0"/>
    <n v="6"/>
    <n v="3"/>
    <x v="1"/>
    <x v="4"/>
    <n v="0"/>
    <n v="1"/>
    <n v="2"/>
  </r>
  <r>
    <n v="30"/>
    <x v="1"/>
    <s v="Travel_Rarely"/>
    <n v="911"/>
    <x v="1"/>
    <n v="1"/>
    <n v="2"/>
    <s v="Medical"/>
    <n v="1"/>
    <n v="1989"/>
    <x v="2"/>
    <s v="Male"/>
    <n v="76"/>
    <n v="3"/>
    <n v="1"/>
    <x v="2"/>
    <x v="1"/>
    <s v="Married"/>
    <n v="3748"/>
    <n v="4077"/>
    <n v="1"/>
    <s v="Y"/>
    <x v="1"/>
    <n v="13"/>
    <n v="3"/>
    <n v="3"/>
    <n v="80"/>
    <n v="0"/>
    <n v="12"/>
    <n v="6"/>
    <x v="2"/>
    <x v="12"/>
    <n v="8"/>
    <n v="1"/>
    <n v="7"/>
  </r>
  <r>
    <n v="25"/>
    <x v="1"/>
    <s v="Travel_Rarely"/>
    <n v="977"/>
    <x v="1"/>
    <n v="2"/>
    <n v="1"/>
    <s v="Other"/>
    <n v="1"/>
    <n v="1992"/>
    <x v="2"/>
    <s v="Male"/>
    <n v="57"/>
    <n v="3"/>
    <n v="1"/>
    <x v="2"/>
    <x v="2"/>
    <s v="Divorced"/>
    <n v="3977"/>
    <n v="7298"/>
    <n v="6"/>
    <s v="Y"/>
    <x v="0"/>
    <n v="19"/>
    <n v="3"/>
    <n v="3"/>
    <n v="80"/>
    <n v="1"/>
    <n v="7"/>
    <n v="2"/>
    <x v="2"/>
    <x v="4"/>
    <n v="2"/>
    <n v="0"/>
    <n v="2"/>
  </r>
  <r>
    <n v="47"/>
    <x v="1"/>
    <s v="Travel_Rarely"/>
    <n v="1180"/>
    <x v="1"/>
    <n v="25"/>
    <n v="3"/>
    <s v="Medical"/>
    <n v="1"/>
    <n v="1993"/>
    <x v="3"/>
    <s v="Male"/>
    <n v="84"/>
    <n v="3"/>
    <n v="3"/>
    <x v="4"/>
    <x v="2"/>
    <s v="Single"/>
    <n v="8633"/>
    <n v="13084"/>
    <n v="2"/>
    <s v="Y"/>
    <x v="1"/>
    <n v="23"/>
    <n v="4"/>
    <n v="2"/>
    <n v="80"/>
    <n v="0"/>
    <n v="25"/>
    <n v="3"/>
    <x v="1"/>
    <x v="18"/>
    <n v="14"/>
    <n v="12"/>
    <n v="11"/>
  </r>
  <r>
    <n v="33"/>
    <x v="1"/>
    <s v="Non-Travel"/>
    <n v="1313"/>
    <x v="1"/>
    <n v="1"/>
    <n v="2"/>
    <s v="Medical"/>
    <n v="1"/>
    <n v="1994"/>
    <x v="0"/>
    <s v="Male"/>
    <n v="59"/>
    <n v="2"/>
    <n v="1"/>
    <x v="2"/>
    <x v="2"/>
    <s v="Divorced"/>
    <n v="2008"/>
    <n v="20439"/>
    <n v="1"/>
    <s v="Y"/>
    <x v="1"/>
    <n v="12"/>
    <n v="3"/>
    <n v="3"/>
    <n v="80"/>
    <n v="3"/>
    <n v="1"/>
    <n v="2"/>
    <x v="2"/>
    <x v="6"/>
    <n v="1"/>
    <n v="0"/>
    <n v="0"/>
  </r>
  <r>
    <n v="38"/>
    <x v="1"/>
    <s v="Travel_Rarely"/>
    <n v="1321"/>
    <x v="0"/>
    <n v="1"/>
    <n v="4"/>
    <s v="Life Sciences"/>
    <n v="1"/>
    <n v="1995"/>
    <x v="2"/>
    <s v="Male"/>
    <n v="86"/>
    <n v="3"/>
    <n v="2"/>
    <x v="0"/>
    <x v="1"/>
    <s v="Married"/>
    <n v="4440"/>
    <n v="7636"/>
    <n v="0"/>
    <s v="Y"/>
    <x v="1"/>
    <n v="15"/>
    <n v="3"/>
    <n v="1"/>
    <n v="80"/>
    <n v="2"/>
    <n v="16"/>
    <n v="3"/>
    <x v="1"/>
    <x v="15"/>
    <n v="13"/>
    <n v="5"/>
    <n v="8"/>
  </r>
  <r>
    <n v="31"/>
    <x v="1"/>
    <s v="Travel_Rarely"/>
    <n v="1154"/>
    <x v="0"/>
    <n v="2"/>
    <n v="2"/>
    <s v="Life Sciences"/>
    <n v="1"/>
    <n v="1996"/>
    <x v="3"/>
    <s v="Male"/>
    <n v="54"/>
    <n v="3"/>
    <n v="1"/>
    <x v="6"/>
    <x v="2"/>
    <s v="Married"/>
    <n v="3067"/>
    <n v="6393"/>
    <n v="0"/>
    <s v="Y"/>
    <x v="1"/>
    <n v="19"/>
    <n v="3"/>
    <n v="3"/>
    <n v="80"/>
    <n v="1"/>
    <n v="3"/>
    <n v="1"/>
    <x v="1"/>
    <x v="4"/>
    <n v="2"/>
    <n v="1"/>
    <n v="2"/>
  </r>
  <r>
    <n v="38"/>
    <x v="1"/>
    <s v="Travel_Frequently"/>
    <n v="508"/>
    <x v="1"/>
    <n v="6"/>
    <n v="4"/>
    <s v="Life Sciences"/>
    <n v="1"/>
    <n v="1997"/>
    <x v="3"/>
    <s v="Male"/>
    <n v="72"/>
    <n v="2"/>
    <n v="2"/>
    <x v="3"/>
    <x v="2"/>
    <s v="Married"/>
    <n v="5321"/>
    <n v="14284"/>
    <n v="2"/>
    <s v="Y"/>
    <x v="1"/>
    <n v="11"/>
    <n v="3"/>
    <n v="4"/>
    <n v="80"/>
    <n v="1"/>
    <n v="10"/>
    <n v="1"/>
    <x v="1"/>
    <x v="3"/>
    <n v="3"/>
    <n v="7"/>
    <n v="7"/>
  </r>
  <r>
    <n v="42"/>
    <x v="1"/>
    <s v="Travel_Rarely"/>
    <n v="557"/>
    <x v="1"/>
    <n v="18"/>
    <n v="4"/>
    <s v="Life Sciences"/>
    <n v="1"/>
    <n v="1998"/>
    <x v="2"/>
    <s v="Male"/>
    <n v="35"/>
    <n v="3"/>
    <n v="2"/>
    <x v="1"/>
    <x v="3"/>
    <s v="Divorced"/>
    <n v="5410"/>
    <n v="11189"/>
    <n v="6"/>
    <s v="Y"/>
    <x v="0"/>
    <n v="17"/>
    <n v="3"/>
    <n v="3"/>
    <n v="80"/>
    <n v="1"/>
    <n v="9"/>
    <n v="3"/>
    <x v="2"/>
    <x v="9"/>
    <n v="3"/>
    <n v="1"/>
    <n v="2"/>
  </r>
  <r>
    <n v="41"/>
    <x v="1"/>
    <s v="Travel_Rarely"/>
    <n v="642"/>
    <x v="1"/>
    <n v="1"/>
    <n v="3"/>
    <s v="Life Sciences"/>
    <n v="1"/>
    <n v="1999"/>
    <x v="2"/>
    <s v="Male"/>
    <n v="76"/>
    <n v="3"/>
    <n v="1"/>
    <x v="1"/>
    <x v="0"/>
    <s v="Married"/>
    <n v="2782"/>
    <n v="21412"/>
    <n v="3"/>
    <s v="Y"/>
    <x v="1"/>
    <n v="22"/>
    <n v="4"/>
    <n v="1"/>
    <n v="80"/>
    <n v="1"/>
    <n v="12"/>
    <n v="3"/>
    <x v="1"/>
    <x v="8"/>
    <n v="3"/>
    <n v="1"/>
    <n v="0"/>
  </r>
  <r>
    <n v="47"/>
    <x v="1"/>
    <s v="Non-Travel"/>
    <n v="1162"/>
    <x v="1"/>
    <n v="1"/>
    <n v="1"/>
    <s v="Medical"/>
    <n v="1"/>
    <n v="2000"/>
    <x v="1"/>
    <s v="Female"/>
    <n v="98"/>
    <n v="3"/>
    <n v="3"/>
    <x v="7"/>
    <x v="1"/>
    <s v="Married"/>
    <n v="11957"/>
    <n v="17231"/>
    <n v="0"/>
    <s v="Y"/>
    <x v="1"/>
    <n v="18"/>
    <n v="3"/>
    <n v="1"/>
    <n v="80"/>
    <n v="2"/>
    <n v="14"/>
    <n v="3"/>
    <x v="0"/>
    <x v="20"/>
    <n v="8"/>
    <n v="5"/>
    <n v="12"/>
  </r>
  <r>
    <n v="35"/>
    <x v="1"/>
    <s v="Travel_Rarely"/>
    <n v="1490"/>
    <x v="1"/>
    <n v="11"/>
    <n v="4"/>
    <s v="Medical"/>
    <n v="1"/>
    <n v="2003"/>
    <x v="2"/>
    <s v="Male"/>
    <n v="43"/>
    <n v="3"/>
    <n v="1"/>
    <x v="2"/>
    <x v="2"/>
    <s v="Married"/>
    <n v="2660"/>
    <n v="20232"/>
    <n v="7"/>
    <s v="Y"/>
    <x v="0"/>
    <n v="11"/>
    <n v="3"/>
    <n v="3"/>
    <n v="80"/>
    <n v="1"/>
    <n v="5"/>
    <n v="3"/>
    <x v="1"/>
    <x v="4"/>
    <n v="2"/>
    <n v="2"/>
    <n v="2"/>
  </r>
  <r>
    <n v="22"/>
    <x v="1"/>
    <s v="Travel_Rarely"/>
    <n v="581"/>
    <x v="1"/>
    <n v="1"/>
    <n v="2"/>
    <s v="Life Sciences"/>
    <n v="1"/>
    <n v="2007"/>
    <x v="2"/>
    <s v="Male"/>
    <n v="63"/>
    <n v="3"/>
    <n v="1"/>
    <x v="1"/>
    <x v="2"/>
    <s v="Single"/>
    <n v="3375"/>
    <n v="17624"/>
    <n v="0"/>
    <s v="Y"/>
    <x v="1"/>
    <n v="12"/>
    <n v="3"/>
    <n v="4"/>
    <n v="80"/>
    <n v="0"/>
    <n v="4"/>
    <n v="2"/>
    <x v="3"/>
    <x v="11"/>
    <n v="2"/>
    <n v="1"/>
    <n v="2"/>
  </r>
  <r>
    <n v="35"/>
    <x v="1"/>
    <s v="Travel_Rarely"/>
    <n v="1395"/>
    <x v="1"/>
    <n v="9"/>
    <n v="4"/>
    <s v="Medical"/>
    <n v="1"/>
    <n v="2008"/>
    <x v="0"/>
    <s v="Male"/>
    <n v="48"/>
    <n v="3"/>
    <n v="2"/>
    <x v="1"/>
    <x v="2"/>
    <s v="Single"/>
    <n v="5098"/>
    <n v="18698"/>
    <n v="1"/>
    <s v="Y"/>
    <x v="1"/>
    <n v="19"/>
    <n v="3"/>
    <n v="2"/>
    <n v="80"/>
    <n v="0"/>
    <n v="10"/>
    <n v="5"/>
    <x v="1"/>
    <x v="1"/>
    <n v="7"/>
    <n v="0"/>
    <n v="8"/>
  </r>
  <r>
    <n v="33"/>
    <x v="1"/>
    <s v="Travel_Rarely"/>
    <n v="501"/>
    <x v="1"/>
    <n v="15"/>
    <n v="2"/>
    <s v="Medical"/>
    <n v="1"/>
    <n v="2009"/>
    <x v="0"/>
    <s v="Female"/>
    <n v="95"/>
    <n v="3"/>
    <n v="2"/>
    <x v="4"/>
    <x v="0"/>
    <s v="Married"/>
    <n v="4878"/>
    <n v="21653"/>
    <n v="0"/>
    <s v="Y"/>
    <x v="0"/>
    <n v="13"/>
    <n v="3"/>
    <n v="1"/>
    <n v="80"/>
    <n v="1"/>
    <n v="10"/>
    <n v="6"/>
    <x v="1"/>
    <x v="7"/>
    <n v="7"/>
    <n v="8"/>
    <n v="1"/>
  </r>
  <r>
    <n v="32"/>
    <x v="1"/>
    <s v="Travel_Rarely"/>
    <n v="267"/>
    <x v="1"/>
    <n v="29"/>
    <n v="4"/>
    <s v="Life Sciences"/>
    <n v="1"/>
    <n v="2010"/>
    <x v="1"/>
    <s v="Female"/>
    <n v="49"/>
    <n v="2"/>
    <n v="1"/>
    <x v="2"/>
    <x v="1"/>
    <s v="Single"/>
    <n v="2837"/>
    <n v="15919"/>
    <n v="1"/>
    <s v="Y"/>
    <x v="1"/>
    <n v="13"/>
    <n v="3"/>
    <n v="3"/>
    <n v="80"/>
    <n v="0"/>
    <n v="6"/>
    <n v="3"/>
    <x v="1"/>
    <x v="0"/>
    <n v="2"/>
    <n v="4"/>
    <n v="1"/>
  </r>
  <r>
    <n v="40"/>
    <x v="1"/>
    <s v="Travel_Rarely"/>
    <n v="543"/>
    <x v="1"/>
    <n v="1"/>
    <n v="4"/>
    <s v="Life Sciences"/>
    <n v="1"/>
    <n v="2012"/>
    <x v="3"/>
    <s v="Male"/>
    <n v="83"/>
    <n v="3"/>
    <n v="1"/>
    <x v="2"/>
    <x v="0"/>
    <s v="Married"/>
    <n v="2406"/>
    <n v="4060"/>
    <n v="8"/>
    <s v="Y"/>
    <x v="1"/>
    <n v="19"/>
    <n v="3"/>
    <n v="3"/>
    <n v="80"/>
    <n v="2"/>
    <n v="8"/>
    <n v="3"/>
    <x v="2"/>
    <x v="6"/>
    <n v="0"/>
    <n v="0"/>
    <n v="0"/>
  </r>
  <r>
    <n v="32"/>
    <x v="1"/>
    <s v="Travel_Rarely"/>
    <n v="234"/>
    <x v="0"/>
    <n v="1"/>
    <n v="4"/>
    <s v="Medical"/>
    <n v="1"/>
    <n v="2013"/>
    <x v="0"/>
    <s v="Male"/>
    <n v="68"/>
    <n v="2"/>
    <n v="1"/>
    <x v="6"/>
    <x v="1"/>
    <s v="Married"/>
    <n v="2269"/>
    <n v="18024"/>
    <n v="0"/>
    <s v="Y"/>
    <x v="1"/>
    <n v="14"/>
    <n v="3"/>
    <n v="2"/>
    <n v="80"/>
    <n v="1"/>
    <n v="3"/>
    <n v="2"/>
    <x v="1"/>
    <x v="4"/>
    <n v="2"/>
    <n v="2"/>
    <n v="2"/>
  </r>
  <r>
    <n v="39"/>
    <x v="1"/>
    <s v="Travel_Rarely"/>
    <n v="116"/>
    <x v="1"/>
    <n v="24"/>
    <n v="1"/>
    <s v="Life Sciences"/>
    <n v="1"/>
    <n v="2014"/>
    <x v="3"/>
    <s v="Male"/>
    <n v="52"/>
    <n v="3"/>
    <n v="2"/>
    <x v="1"/>
    <x v="0"/>
    <s v="Single"/>
    <n v="4108"/>
    <n v="5340"/>
    <n v="7"/>
    <s v="Y"/>
    <x v="1"/>
    <n v="13"/>
    <n v="3"/>
    <n v="1"/>
    <n v="80"/>
    <n v="0"/>
    <n v="18"/>
    <n v="2"/>
    <x v="1"/>
    <x v="5"/>
    <n v="7"/>
    <n v="1"/>
    <n v="7"/>
  </r>
  <r>
    <n v="38"/>
    <x v="1"/>
    <s v="Travel_Rarely"/>
    <n v="201"/>
    <x v="1"/>
    <n v="10"/>
    <n v="3"/>
    <s v="Medical"/>
    <n v="1"/>
    <n v="2015"/>
    <x v="0"/>
    <s v="Female"/>
    <n v="99"/>
    <n v="1"/>
    <n v="3"/>
    <x v="7"/>
    <x v="2"/>
    <s v="Married"/>
    <n v="13206"/>
    <n v="3376"/>
    <n v="3"/>
    <s v="Y"/>
    <x v="1"/>
    <n v="12"/>
    <n v="3"/>
    <n v="1"/>
    <n v="80"/>
    <n v="1"/>
    <n v="20"/>
    <n v="3"/>
    <x v="1"/>
    <x v="29"/>
    <n v="16"/>
    <n v="1"/>
    <n v="11"/>
  </r>
  <r>
    <n v="32"/>
    <x v="1"/>
    <s v="Travel_Rarely"/>
    <n v="801"/>
    <x v="0"/>
    <n v="1"/>
    <n v="4"/>
    <s v="Marketing"/>
    <n v="1"/>
    <n v="2016"/>
    <x v="1"/>
    <s v="Female"/>
    <n v="48"/>
    <n v="3"/>
    <n v="3"/>
    <x v="0"/>
    <x v="0"/>
    <s v="Married"/>
    <n v="10422"/>
    <n v="24032"/>
    <n v="1"/>
    <s v="Y"/>
    <x v="1"/>
    <n v="19"/>
    <n v="3"/>
    <n v="3"/>
    <n v="80"/>
    <n v="2"/>
    <n v="14"/>
    <n v="3"/>
    <x v="1"/>
    <x v="13"/>
    <n v="10"/>
    <n v="5"/>
    <n v="7"/>
  </r>
  <r>
    <n v="37"/>
    <x v="1"/>
    <s v="Travel_Rarely"/>
    <n v="161"/>
    <x v="1"/>
    <n v="10"/>
    <n v="3"/>
    <s v="Life Sciences"/>
    <n v="1"/>
    <n v="2017"/>
    <x v="1"/>
    <s v="Female"/>
    <n v="42"/>
    <n v="4"/>
    <n v="3"/>
    <x v="7"/>
    <x v="0"/>
    <s v="Married"/>
    <n v="13744"/>
    <n v="15471"/>
    <n v="1"/>
    <s v="Y"/>
    <x v="0"/>
    <n v="25"/>
    <n v="4"/>
    <n v="1"/>
    <n v="80"/>
    <n v="1"/>
    <n v="16"/>
    <n v="2"/>
    <x v="1"/>
    <x v="22"/>
    <n v="11"/>
    <n v="6"/>
    <n v="8"/>
  </r>
  <r>
    <n v="25"/>
    <x v="1"/>
    <s v="Travel_Rarely"/>
    <n v="1382"/>
    <x v="0"/>
    <n v="8"/>
    <n v="2"/>
    <s v="Other"/>
    <n v="1"/>
    <n v="2018"/>
    <x v="3"/>
    <s v="Female"/>
    <n v="85"/>
    <n v="3"/>
    <n v="2"/>
    <x v="0"/>
    <x v="2"/>
    <s v="Divorced"/>
    <n v="4907"/>
    <n v="13684"/>
    <n v="0"/>
    <s v="Y"/>
    <x v="0"/>
    <n v="22"/>
    <n v="4"/>
    <n v="2"/>
    <n v="80"/>
    <n v="1"/>
    <n v="6"/>
    <n v="3"/>
    <x v="2"/>
    <x v="8"/>
    <n v="3"/>
    <n v="0"/>
    <n v="4"/>
  </r>
  <r>
    <n v="52"/>
    <x v="1"/>
    <s v="Non-Travel"/>
    <n v="585"/>
    <x v="0"/>
    <n v="29"/>
    <n v="4"/>
    <s v="Life Sciences"/>
    <n v="1"/>
    <n v="2019"/>
    <x v="3"/>
    <s v="Male"/>
    <n v="40"/>
    <n v="3"/>
    <n v="1"/>
    <x v="6"/>
    <x v="0"/>
    <s v="Divorced"/>
    <n v="3482"/>
    <n v="19788"/>
    <n v="2"/>
    <s v="Y"/>
    <x v="1"/>
    <n v="15"/>
    <n v="3"/>
    <n v="2"/>
    <n v="80"/>
    <n v="2"/>
    <n v="16"/>
    <n v="3"/>
    <x v="2"/>
    <x v="7"/>
    <n v="8"/>
    <n v="0"/>
    <n v="0"/>
  </r>
  <r>
    <n v="44"/>
    <x v="1"/>
    <s v="Travel_Rarely"/>
    <n v="1037"/>
    <x v="1"/>
    <n v="1"/>
    <n v="3"/>
    <s v="Medical"/>
    <n v="1"/>
    <n v="2020"/>
    <x v="0"/>
    <s v="Male"/>
    <n v="42"/>
    <n v="3"/>
    <n v="1"/>
    <x v="1"/>
    <x v="0"/>
    <s v="Single"/>
    <n v="2436"/>
    <n v="13422"/>
    <n v="6"/>
    <s v="Y"/>
    <x v="0"/>
    <n v="12"/>
    <n v="3"/>
    <n v="3"/>
    <n v="80"/>
    <n v="0"/>
    <n v="6"/>
    <n v="2"/>
    <x v="1"/>
    <x v="9"/>
    <n v="3"/>
    <n v="1"/>
    <n v="2"/>
  </r>
  <r>
    <n v="21"/>
    <x v="1"/>
    <s v="Travel_Rarely"/>
    <n v="501"/>
    <x v="0"/>
    <n v="5"/>
    <n v="1"/>
    <s v="Medical"/>
    <n v="1"/>
    <n v="2021"/>
    <x v="1"/>
    <s v="Male"/>
    <n v="58"/>
    <n v="3"/>
    <n v="1"/>
    <x v="6"/>
    <x v="3"/>
    <s v="Single"/>
    <n v="2380"/>
    <n v="25479"/>
    <n v="1"/>
    <s v="Y"/>
    <x v="0"/>
    <n v="11"/>
    <n v="3"/>
    <n v="4"/>
    <n v="80"/>
    <n v="0"/>
    <n v="2"/>
    <n v="6"/>
    <x v="1"/>
    <x v="4"/>
    <n v="2"/>
    <n v="1"/>
    <n v="2"/>
  </r>
  <r>
    <n v="39"/>
    <x v="1"/>
    <s v="Non-Travel"/>
    <n v="105"/>
    <x v="1"/>
    <n v="9"/>
    <n v="3"/>
    <s v="Life Sciences"/>
    <n v="1"/>
    <n v="2022"/>
    <x v="2"/>
    <s v="Male"/>
    <n v="87"/>
    <n v="3"/>
    <n v="5"/>
    <x v="5"/>
    <x v="0"/>
    <s v="Single"/>
    <n v="19431"/>
    <n v="15302"/>
    <n v="2"/>
    <s v="Y"/>
    <x v="1"/>
    <n v="13"/>
    <n v="3"/>
    <n v="3"/>
    <n v="80"/>
    <n v="0"/>
    <n v="21"/>
    <n v="3"/>
    <x v="2"/>
    <x v="0"/>
    <n v="0"/>
    <n v="1"/>
    <n v="3"/>
  </r>
  <r>
    <n v="23"/>
    <x v="0"/>
    <s v="Travel_Frequently"/>
    <n v="638"/>
    <x v="0"/>
    <n v="9"/>
    <n v="3"/>
    <s v="Marketing"/>
    <n v="1"/>
    <n v="2023"/>
    <x v="2"/>
    <s v="Male"/>
    <n v="33"/>
    <n v="3"/>
    <n v="1"/>
    <x v="6"/>
    <x v="3"/>
    <s v="Married"/>
    <n v="1790"/>
    <n v="26956"/>
    <n v="1"/>
    <s v="Y"/>
    <x v="1"/>
    <n v="19"/>
    <n v="3"/>
    <n v="1"/>
    <n v="80"/>
    <n v="1"/>
    <n v="1"/>
    <n v="3"/>
    <x v="2"/>
    <x v="6"/>
    <n v="0"/>
    <n v="1"/>
    <n v="0"/>
  </r>
  <r>
    <n v="36"/>
    <x v="1"/>
    <s v="Travel_Rarely"/>
    <n v="557"/>
    <x v="0"/>
    <n v="3"/>
    <n v="3"/>
    <s v="Medical"/>
    <n v="1"/>
    <n v="2024"/>
    <x v="3"/>
    <s v="Female"/>
    <n v="94"/>
    <n v="2"/>
    <n v="3"/>
    <x v="0"/>
    <x v="0"/>
    <s v="Married"/>
    <n v="7644"/>
    <n v="12695"/>
    <n v="0"/>
    <s v="Y"/>
    <x v="1"/>
    <n v="19"/>
    <n v="3"/>
    <n v="3"/>
    <n v="80"/>
    <n v="2"/>
    <n v="10"/>
    <n v="2"/>
    <x v="1"/>
    <x v="7"/>
    <n v="7"/>
    <n v="3"/>
    <n v="4"/>
  </r>
  <r>
    <n v="36"/>
    <x v="1"/>
    <s v="Travel_Frequently"/>
    <n v="688"/>
    <x v="1"/>
    <n v="4"/>
    <n v="2"/>
    <s v="Life Sciences"/>
    <n v="1"/>
    <n v="2025"/>
    <x v="2"/>
    <s v="Female"/>
    <n v="97"/>
    <n v="3"/>
    <n v="2"/>
    <x v="3"/>
    <x v="1"/>
    <s v="Divorced"/>
    <n v="5131"/>
    <n v="9192"/>
    <n v="7"/>
    <s v="Y"/>
    <x v="1"/>
    <n v="13"/>
    <n v="3"/>
    <n v="2"/>
    <n v="80"/>
    <n v="3"/>
    <n v="18"/>
    <n v="3"/>
    <x v="1"/>
    <x v="9"/>
    <n v="2"/>
    <n v="0"/>
    <n v="2"/>
  </r>
  <r>
    <n v="56"/>
    <x v="1"/>
    <s v="Non-Travel"/>
    <n v="667"/>
    <x v="1"/>
    <n v="1"/>
    <n v="4"/>
    <s v="Life Sciences"/>
    <n v="1"/>
    <n v="2026"/>
    <x v="1"/>
    <s v="Male"/>
    <n v="57"/>
    <n v="3"/>
    <n v="2"/>
    <x v="4"/>
    <x v="2"/>
    <s v="Divorced"/>
    <n v="6306"/>
    <n v="26236"/>
    <n v="1"/>
    <s v="Y"/>
    <x v="1"/>
    <n v="21"/>
    <n v="4"/>
    <n v="1"/>
    <n v="80"/>
    <n v="1"/>
    <n v="13"/>
    <n v="2"/>
    <x v="2"/>
    <x v="20"/>
    <n v="12"/>
    <n v="1"/>
    <n v="9"/>
  </r>
  <r>
    <n v="29"/>
    <x v="0"/>
    <s v="Travel_Rarely"/>
    <n v="1092"/>
    <x v="1"/>
    <n v="1"/>
    <n v="4"/>
    <s v="Medical"/>
    <n v="1"/>
    <n v="2027"/>
    <x v="3"/>
    <s v="Male"/>
    <n v="36"/>
    <n v="3"/>
    <n v="1"/>
    <x v="1"/>
    <x v="0"/>
    <s v="Married"/>
    <n v="4787"/>
    <n v="26124"/>
    <n v="9"/>
    <s v="Y"/>
    <x v="0"/>
    <n v="14"/>
    <n v="3"/>
    <n v="2"/>
    <n v="80"/>
    <n v="3"/>
    <n v="4"/>
    <n v="3"/>
    <x v="3"/>
    <x v="4"/>
    <n v="2"/>
    <n v="2"/>
    <n v="2"/>
  </r>
  <r>
    <n v="42"/>
    <x v="1"/>
    <s v="Travel_Rarely"/>
    <n v="300"/>
    <x v="1"/>
    <n v="2"/>
    <n v="3"/>
    <s v="Life Sciences"/>
    <n v="1"/>
    <n v="2031"/>
    <x v="3"/>
    <s v="Male"/>
    <n v="56"/>
    <n v="3"/>
    <n v="5"/>
    <x v="5"/>
    <x v="2"/>
    <s v="Married"/>
    <n v="18880"/>
    <n v="17312"/>
    <n v="5"/>
    <s v="Y"/>
    <x v="1"/>
    <n v="11"/>
    <n v="3"/>
    <n v="1"/>
    <n v="80"/>
    <n v="0"/>
    <n v="24"/>
    <n v="2"/>
    <x v="2"/>
    <x v="14"/>
    <n v="6"/>
    <n v="4"/>
    <n v="14"/>
  </r>
  <r>
    <n v="56"/>
    <x v="0"/>
    <s v="Travel_Rarely"/>
    <n v="310"/>
    <x v="1"/>
    <n v="7"/>
    <n v="2"/>
    <s v="Technical Degree"/>
    <n v="1"/>
    <n v="2032"/>
    <x v="2"/>
    <s v="Male"/>
    <n v="72"/>
    <n v="3"/>
    <n v="1"/>
    <x v="2"/>
    <x v="2"/>
    <s v="Married"/>
    <n v="2339"/>
    <n v="3666"/>
    <n v="8"/>
    <s v="Y"/>
    <x v="1"/>
    <n v="11"/>
    <n v="3"/>
    <n v="4"/>
    <n v="80"/>
    <n v="1"/>
    <n v="14"/>
    <n v="4"/>
    <x v="0"/>
    <x v="1"/>
    <n v="9"/>
    <n v="9"/>
    <n v="8"/>
  </r>
  <r>
    <n v="41"/>
    <x v="1"/>
    <s v="Travel_Rarely"/>
    <n v="582"/>
    <x v="1"/>
    <n v="28"/>
    <n v="4"/>
    <s v="Life Sciences"/>
    <n v="1"/>
    <n v="2034"/>
    <x v="3"/>
    <s v="Female"/>
    <n v="60"/>
    <n v="2"/>
    <n v="4"/>
    <x v="3"/>
    <x v="1"/>
    <s v="Married"/>
    <n v="13570"/>
    <n v="5640"/>
    <n v="0"/>
    <s v="Y"/>
    <x v="1"/>
    <n v="23"/>
    <n v="4"/>
    <n v="3"/>
    <n v="80"/>
    <n v="1"/>
    <n v="21"/>
    <n v="3"/>
    <x v="1"/>
    <x v="23"/>
    <n v="7"/>
    <n v="0"/>
    <n v="10"/>
  </r>
  <r>
    <n v="34"/>
    <x v="1"/>
    <s v="Travel_Rarely"/>
    <n v="704"/>
    <x v="0"/>
    <n v="28"/>
    <n v="3"/>
    <s v="Marketing"/>
    <n v="1"/>
    <n v="2035"/>
    <x v="2"/>
    <s v="Female"/>
    <n v="95"/>
    <n v="2"/>
    <n v="2"/>
    <x v="0"/>
    <x v="2"/>
    <s v="Married"/>
    <n v="6712"/>
    <n v="8978"/>
    <n v="1"/>
    <s v="Y"/>
    <x v="1"/>
    <n v="21"/>
    <n v="4"/>
    <n v="4"/>
    <n v="80"/>
    <n v="2"/>
    <n v="8"/>
    <n v="2"/>
    <x v="1"/>
    <x v="3"/>
    <n v="7"/>
    <n v="1"/>
    <n v="7"/>
  </r>
  <r>
    <n v="36"/>
    <x v="1"/>
    <s v="Non-Travel"/>
    <n v="301"/>
    <x v="0"/>
    <n v="15"/>
    <n v="4"/>
    <s v="Marketing"/>
    <n v="1"/>
    <n v="2036"/>
    <x v="2"/>
    <s v="Male"/>
    <n v="88"/>
    <n v="1"/>
    <n v="2"/>
    <x v="0"/>
    <x v="0"/>
    <s v="Divorced"/>
    <n v="5406"/>
    <n v="10436"/>
    <n v="1"/>
    <s v="Y"/>
    <x v="1"/>
    <n v="24"/>
    <n v="4"/>
    <n v="1"/>
    <n v="80"/>
    <n v="1"/>
    <n v="15"/>
    <n v="4"/>
    <x v="2"/>
    <x v="15"/>
    <n v="12"/>
    <n v="11"/>
    <n v="11"/>
  </r>
  <r>
    <n v="41"/>
    <x v="1"/>
    <s v="Travel_Rarely"/>
    <n v="930"/>
    <x v="0"/>
    <n v="3"/>
    <n v="3"/>
    <s v="Life Sciences"/>
    <n v="1"/>
    <n v="2037"/>
    <x v="1"/>
    <s v="Male"/>
    <n v="57"/>
    <n v="2"/>
    <n v="2"/>
    <x v="0"/>
    <x v="1"/>
    <s v="Divorced"/>
    <n v="8938"/>
    <n v="12227"/>
    <n v="2"/>
    <s v="Y"/>
    <x v="1"/>
    <n v="11"/>
    <n v="3"/>
    <n v="3"/>
    <n v="80"/>
    <n v="1"/>
    <n v="14"/>
    <n v="5"/>
    <x v="1"/>
    <x v="8"/>
    <n v="4"/>
    <n v="0"/>
    <n v="4"/>
  </r>
  <r>
    <n v="32"/>
    <x v="1"/>
    <s v="Travel_Rarely"/>
    <n v="529"/>
    <x v="1"/>
    <n v="2"/>
    <n v="3"/>
    <s v="Technical Degree"/>
    <n v="1"/>
    <n v="2038"/>
    <x v="2"/>
    <s v="Male"/>
    <n v="78"/>
    <n v="3"/>
    <n v="1"/>
    <x v="1"/>
    <x v="3"/>
    <s v="Single"/>
    <n v="2439"/>
    <n v="11288"/>
    <n v="1"/>
    <s v="Y"/>
    <x v="1"/>
    <n v="14"/>
    <n v="3"/>
    <n v="4"/>
    <n v="80"/>
    <n v="0"/>
    <n v="4"/>
    <n v="4"/>
    <x v="1"/>
    <x v="9"/>
    <n v="2"/>
    <n v="1"/>
    <n v="2"/>
  </r>
  <r>
    <n v="35"/>
    <x v="1"/>
    <s v="Travel_Rarely"/>
    <n v="1146"/>
    <x v="2"/>
    <n v="26"/>
    <n v="4"/>
    <s v="Life Sciences"/>
    <n v="1"/>
    <n v="2040"/>
    <x v="1"/>
    <s v="Female"/>
    <n v="31"/>
    <n v="3"/>
    <n v="3"/>
    <x v="8"/>
    <x v="0"/>
    <s v="Single"/>
    <n v="8837"/>
    <n v="16642"/>
    <n v="1"/>
    <s v="Y"/>
    <x v="0"/>
    <n v="16"/>
    <n v="3"/>
    <n v="3"/>
    <n v="80"/>
    <n v="0"/>
    <n v="9"/>
    <n v="2"/>
    <x v="1"/>
    <x v="7"/>
    <n v="0"/>
    <n v="1"/>
    <n v="7"/>
  </r>
  <r>
    <n v="38"/>
    <x v="1"/>
    <s v="Travel_Rarely"/>
    <n v="345"/>
    <x v="0"/>
    <n v="10"/>
    <n v="2"/>
    <s v="Life Sciences"/>
    <n v="1"/>
    <n v="2041"/>
    <x v="3"/>
    <s v="Female"/>
    <n v="100"/>
    <n v="3"/>
    <n v="2"/>
    <x v="0"/>
    <x v="0"/>
    <s v="Married"/>
    <n v="5343"/>
    <n v="5982"/>
    <n v="1"/>
    <s v="Y"/>
    <x v="1"/>
    <n v="11"/>
    <n v="3"/>
    <n v="3"/>
    <n v="80"/>
    <n v="1"/>
    <n v="10"/>
    <n v="1"/>
    <x v="1"/>
    <x v="1"/>
    <n v="7"/>
    <n v="1"/>
    <n v="9"/>
  </r>
  <r>
    <n v="50"/>
    <x v="0"/>
    <s v="Travel_Frequently"/>
    <n v="878"/>
    <x v="0"/>
    <n v="1"/>
    <n v="4"/>
    <s v="Life Sciences"/>
    <n v="1"/>
    <n v="2044"/>
    <x v="0"/>
    <s v="Male"/>
    <n v="94"/>
    <n v="3"/>
    <n v="2"/>
    <x v="0"/>
    <x v="2"/>
    <s v="Divorced"/>
    <n v="6728"/>
    <n v="14255"/>
    <n v="7"/>
    <s v="Y"/>
    <x v="1"/>
    <n v="12"/>
    <n v="3"/>
    <n v="4"/>
    <n v="80"/>
    <n v="2"/>
    <n v="12"/>
    <n v="3"/>
    <x v="1"/>
    <x v="0"/>
    <n v="3"/>
    <n v="0"/>
    <n v="1"/>
  </r>
  <r>
    <n v="36"/>
    <x v="1"/>
    <s v="Travel_Rarely"/>
    <n v="1120"/>
    <x v="0"/>
    <n v="11"/>
    <n v="4"/>
    <s v="Marketing"/>
    <n v="1"/>
    <n v="2045"/>
    <x v="0"/>
    <s v="Female"/>
    <n v="100"/>
    <n v="2"/>
    <n v="2"/>
    <x v="0"/>
    <x v="0"/>
    <s v="Married"/>
    <n v="6652"/>
    <n v="14369"/>
    <n v="4"/>
    <s v="Y"/>
    <x v="1"/>
    <n v="13"/>
    <n v="3"/>
    <n v="1"/>
    <n v="80"/>
    <n v="1"/>
    <n v="8"/>
    <n v="2"/>
    <x v="2"/>
    <x v="0"/>
    <n v="3"/>
    <n v="0"/>
    <n v="0"/>
  </r>
  <r>
    <n v="45"/>
    <x v="1"/>
    <s v="Travel_Rarely"/>
    <n v="374"/>
    <x v="0"/>
    <n v="20"/>
    <n v="3"/>
    <s v="Life Sciences"/>
    <n v="1"/>
    <n v="2046"/>
    <x v="2"/>
    <s v="Female"/>
    <n v="50"/>
    <n v="3"/>
    <n v="2"/>
    <x v="0"/>
    <x v="2"/>
    <s v="Single"/>
    <n v="4850"/>
    <n v="23333"/>
    <n v="8"/>
    <s v="Y"/>
    <x v="1"/>
    <n v="15"/>
    <n v="3"/>
    <n v="3"/>
    <n v="80"/>
    <n v="0"/>
    <n v="8"/>
    <n v="3"/>
    <x v="1"/>
    <x v="8"/>
    <n v="3"/>
    <n v="0"/>
    <n v="1"/>
  </r>
  <r>
    <n v="40"/>
    <x v="1"/>
    <s v="Travel_Rarely"/>
    <n v="1322"/>
    <x v="1"/>
    <n v="2"/>
    <n v="4"/>
    <s v="Life Sciences"/>
    <n v="1"/>
    <n v="2048"/>
    <x v="1"/>
    <s v="Male"/>
    <n v="52"/>
    <n v="2"/>
    <n v="1"/>
    <x v="1"/>
    <x v="2"/>
    <s v="Single"/>
    <n v="2809"/>
    <n v="2725"/>
    <n v="2"/>
    <s v="Y"/>
    <x v="1"/>
    <n v="14"/>
    <n v="3"/>
    <n v="4"/>
    <n v="80"/>
    <n v="0"/>
    <n v="8"/>
    <n v="2"/>
    <x v="1"/>
    <x v="4"/>
    <n v="2"/>
    <n v="2"/>
    <n v="2"/>
  </r>
  <r>
    <n v="35"/>
    <x v="1"/>
    <s v="Travel_Frequently"/>
    <n v="1199"/>
    <x v="1"/>
    <n v="18"/>
    <n v="4"/>
    <s v="Life Sciences"/>
    <n v="1"/>
    <n v="2049"/>
    <x v="1"/>
    <s v="Male"/>
    <n v="80"/>
    <n v="3"/>
    <n v="2"/>
    <x v="4"/>
    <x v="2"/>
    <s v="Married"/>
    <n v="5689"/>
    <n v="24594"/>
    <n v="1"/>
    <s v="Y"/>
    <x v="0"/>
    <n v="14"/>
    <n v="3"/>
    <n v="4"/>
    <n v="80"/>
    <n v="2"/>
    <n v="10"/>
    <n v="2"/>
    <x v="3"/>
    <x v="1"/>
    <n v="2"/>
    <n v="0"/>
    <n v="2"/>
  </r>
  <r>
    <n v="40"/>
    <x v="1"/>
    <s v="Travel_Rarely"/>
    <n v="1194"/>
    <x v="1"/>
    <n v="2"/>
    <n v="4"/>
    <s v="Medical"/>
    <n v="1"/>
    <n v="2051"/>
    <x v="1"/>
    <s v="Female"/>
    <n v="98"/>
    <n v="3"/>
    <n v="1"/>
    <x v="1"/>
    <x v="2"/>
    <s v="Married"/>
    <n v="2001"/>
    <n v="12549"/>
    <n v="2"/>
    <s v="Y"/>
    <x v="1"/>
    <n v="14"/>
    <n v="3"/>
    <n v="2"/>
    <n v="80"/>
    <n v="3"/>
    <n v="20"/>
    <n v="2"/>
    <x v="1"/>
    <x v="8"/>
    <n v="3"/>
    <n v="0"/>
    <n v="2"/>
  </r>
  <r>
    <n v="35"/>
    <x v="1"/>
    <s v="Travel_Rarely"/>
    <n v="287"/>
    <x v="1"/>
    <n v="1"/>
    <n v="4"/>
    <s v="Life Sciences"/>
    <n v="1"/>
    <n v="2052"/>
    <x v="1"/>
    <s v="Female"/>
    <n v="62"/>
    <n v="1"/>
    <n v="1"/>
    <x v="1"/>
    <x v="0"/>
    <s v="Married"/>
    <n v="2977"/>
    <n v="8952"/>
    <n v="1"/>
    <s v="Y"/>
    <x v="1"/>
    <n v="12"/>
    <n v="3"/>
    <n v="4"/>
    <n v="80"/>
    <n v="1"/>
    <n v="4"/>
    <n v="5"/>
    <x v="1"/>
    <x v="9"/>
    <n v="3"/>
    <n v="1"/>
    <n v="1"/>
  </r>
  <r>
    <n v="29"/>
    <x v="1"/>
    <s v="Travel_Rarely"/>
    <n v="1378"/>
    <x v="1"/>
    <n v="13"/>
    <n v="2"/>
    <s v="Other"/>
    <n v="1"/>
    <n v="2053"/>
    <x v="2"/>
    <s v="Male"/>
    <n v="46"/>
    <n v="2"/>
    <n v="2"/>
    <x v="2"/>
    <x v="1"/>
    <s v="Married"/>
    <n v="4025"/>
    <n v="23679"/>
    <n v="4"/>
    <s v="Y"/>
    <x v="0"/>
    <n v="13"/>
    <n v="3"/>
    <n v="1"/>
    <n v="80"/>
    <n v="1"/>
    <n v="10"/>
    <n v="2"/>
    <x v="1"/>
    <x v="9"/>
    <n v="3"/>
    <n v="0"/>
    <n v="3"/>
  </r>
  <r>
    <n v="29"/>
    <x v="1"/>
    <s v="Travel_Rarely"/>
    <n v="468"/>
    <x v="1"/>
    <n v="28"/>
    <n v="4"/>
    <s v="Medical"/>
    <n v="1"/>
    <n v="2054"/>
    <x v="2"/>
    <s v="Female"/>
    <n v="73"/>
    <n v="2"/>
    <n v="1"/>
    <x v="1"/>
    <x v="3"/>
    <s v="Single"/>
    <n v="3785"/>
    <n v="8489"/>
    <n v="1"/>
    <s v="Y"/>
    <x v="1"/>
    <n v="14"/>
    <n v="3"/>
    <n v="2"/>
    <n v="80"/>
    <n v="0"/>
    <n v="5"/>
    <n v="3"/>
    <x v="0"/>
    <x v="8"/>
    <n v="4"/>
    <n v="0"/>
    <n v="4"/>
  </r>
  <r>
    <n v="50"/>
    <x v="0"/>
    <s v="Travel_Rarely"/>
    <n v="410"/>
    <x v="0"/>
    <n v="28"/>
    <n v="3"/>
    <s v="Marketing"/>
    <n v="1"/>
    <n v="2055"/>
    <x v="2"/>
    <s v="Male"/>
    <n v="39"/>
    <n v="2"/>
    <n v="3"/>
    <x v="0"/>
    <x v="3"/>
    <s v="Divorced"/>
    <n v="10854"/>
    <n v="16586"/>
    <n v="4"/>
    <s v="Y"/>
    <x v="0"/>
    <n v="13"/>
    <n v="3"/>
    <n v="2"/>
    <n v="80"/>
    <n v="1"/>
    <n v="20"/>
    <n v="3"/>
    <x v="1"/>
    <x v="11"/>
    <n v="2"/>
    <n v="2"/>
    <n v="0"/>
  </r>
  <r>
    <n v="39"/>
    <x v="1"/>
    <s v="Travel_Rarely"/>
    <n v="722"/>
    <x v="0"/>
    <n v="24"/>
    <n v="1"/>
    <s v="Marketing"/>
    <n v="1"/>
    <n v="2056"/>
    <x v="0"/>
    <s v="Female"/>
    <n v="60"/>
    <n v="2"/>
    <n v="4"/>
    <x v="0"/>
    <x v="0"/>
    <s v="Married"/>
    <n v="12031"/>
    <n v="8828"/>
    <n v="0"/>
    <s v="Y"/>
    <x v="1"/>
    <n v="11"/>
    <n v="3"/>
    <n v="1"/>
    <n v="80"/>
    <n v="1"/>
    <n v="21"/>
    <n v="2"/>
    <x v="2"/>
    <x v="23"/>
    <n v="9"/>
    <n v="9"/>
    <n v="6"/>
  </r>
  <r>
    <n v="31"/>
    <x v="1"/>
    <s v="Non-Travel"/>
    <n v="325"/>
    <x v="1"/>
    <n v="5"/>
    <n v="3"/>
    <s v="Medical"/>
    <n v="1"/>
    <n v="2057"/>
    <x v="0"/>
    <s v="Male"/>
    <n v="74"/>
    <n v="3"/>
    <n v="2"/>
    <x v="3"/>
    <x v="3"/>
    <s v="Single"/>
    <n v="9936"/>
    <n v="3787"/>
    <n v="0"/>
    <s v="Y"/>
    <x v="1"/>
    <n v="19"/>
    <n v="3"/>
    <n v="2"/>
    <n v="80"/>
    <n v="0"/>
    <n v="10"/>
    <n v="2"/>
    <x v="1"/>
    <x v="7"/>
    <n v="4"/>
    <n v="1"/>
    <n v="7"/>
  </r>
  <r>
    <n v="26"/>
    <x v="1"/>
    <s v="Travel_Rarely"/>
    <n v="1167"/>
    <x v="0"/>
    <n v="5"/>
    <n v="3"/>
    <s v="Other"/>
    <n v="1"/>
    <n v="2060"/>
    <x v="2"/>
    <s v="Female"/>
    <n v="30"/>
    <n v="2"/>
    <n v="1"/>
    <x v="6"/>
    <x v="2"/>
    <s v="Single"/>
    <n v="2966"/>
    <n v="21378"/>
    <n v="0"/>
    <s v="Y"/>
    <x v="1"/>
    <n v="18"/>
    <n v="3"/>
    <n v="4"/>
    <n v="80"/>
    <n v="0"/>
    <n v="5"/>
    <n v="2"/>
    <x v="1"/>
    <x v="9"/>
    <n v="2"/>
    <n v="0"/>
    <n v="0"/>
  </r>
  <r>
    <n v="36"/>
    <x v="1"/>
    <s v="Travel_Frequently"/>
    <n v="884"/>
    <x v="1"/>
    <n v="23"/>
    <n v="2"/>
    <s v="Medical"/>
    <n v="1"/>
    <n v="2061"/>
    <x v="1"/>
    <s v="Male"/>
    <n v="41"/>
    <n v="4"/>
    <n v="2"/>
    <x v="2"/>
    <x v="0"/>
    <s v="Married"/>
    <n v="2571"/>
    <n v="12290"/>
    <n v="4"/>
    <s v="Y"/>
    <x v="1"/>
    <n v="17"/>
    <n v="3"/>
    <n v="3"/>
    <n v="80"/>
    <n v="1"/>
    <n v="17"/>
    <n v="3"/>
    <x v="1"/>
    <x v="8"/>
    <n v="2"/>
    <n v="0"/>
    <n v="3"/>
  </r>
  <r>
    <n v="39"/>
    <x v="1"/>
    <s v="Travel_Rarely"/>
    <n v="613"/>
    <x v="1"/>
    <n v="6"/>
    <n v="1"/>
    <s v="Medical"/>
    <n v="1"/>
    <n v="2062"/>
    <x v="2"/>
    <s v="Male"/>
    <n v="42"/>
    <n v="2"/>
    <n v="3"/>
    <x v="4"/>
    <x v="3"/>
    <s v="Married"/>
    <n v="9991"/>
    <n v="21457"/>
    <n v="4"/>
    <s v="Y"/>
    <x v="1"/>
    <n v="15"/>
    <n v="3"/>
    <n v="1"/>
    <n v="80"/>
    <n v="1"/>
    <n v="9"/>
    <n v="5"/>
    <x v="1"/>
    <x v="5"/>
    <n v="7"/>
    <n v="1"/>
    <n v="7"/>
  </r>
  <r>
    <n v="27"/>
    <x v="1"/>
    <s v="Travel_Rarely"/>
    <n v="155"/>
    <x v="1"/>
    <n v="4"/>
    <n v="3"/>
    <s v="Life Sciences"/>
    <n v="1"/>
    <n v="2064"/>
    <x v="0"/>
    <s v="Male"/>
    <n v="87"/>
    <n v="4"/>
    <n v="2"/>
    <x v="3"/>
    <x v="1"/>
    <s v="Married"/>
    <n v="6142"/>
    <n v="5174"/>
    <n v="1"/>
    <s v="Y"/>
    <x v="0"/>
    <n v="20"/>
    <n v="4"/>
    <n v="2"/>
    <n v="80"/>
    <n v="1"/>
    <n v="6"/>
    <n v="0"/>
    <x v="1"/>
    <x v="0"/>
    <n v="2"/>
    <n v="0"/>
    <n v="3"/>
  </r>
  <r>
    <n v="49"/>
    <x v="1"/>
    <s v="Travel_Frequently"/>
    <n v="1023"/>
    <x v="0"/>
    <n v="2"/>
    <n v="3"/>
    <s v="Medical"/>
    <n v="1"/>
    <n v="2065"/>
    <x v="2"/>
    <s v="Male"/>
    <n v="63"/>
    <n v="2"/>
    <n v="2"/>
    <x v="0"/>
    <x v="1"/>
    <s v="Married"/>
    <n v="5390"/>
    <n v="13243"/>
    <n v="2"/>
    <s v="Y"/>
    <x v="1"/>
    <n v="14"/>
    <n v="3"/>
    <n v="4"/>
    <n v="80"/>
    <n v="0"/>
    <n v="17"/>
    <n v="3"/>
    <x v="2"/>
    <x v="7"/>
    <n v="6"/>
    <n v="0"/>
    <n v="8"/>
  </r>
  <r>
    <n v="34"/>
    <x v="1"/>
    <s v="Travel_Rarely"/>
    <n v="628"/>
    <x v="1"/>
    <n v="8"/>
    <n v="3"/>
    <s v="Medical"/>
    <n v="1"/>
    <n v="2068"/>
    <x v="0"/>
    <s v="Male"/>
    <n v="82"/>
    <n v="4"/>
    <n v="2"/>
    <x v="2"/>
    <x v="2"/>
    <s v="Married"/>
    <n v="4404"/>
    <n v="10228"/>
    <n v="2"/>
    <s v="Y"/>
    <x v="1"/>
    <n v="12"/>
    <n v="3"/>
    <n v="1"/>
    <n v="80"/>
    <n v="0"/>
    <n v="6"/>
    <n v="3"/>
    <x v="3"/>
    <x v="9"/>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ACE87A-4BA2-4B81-AA53-E7BE874ED46F}"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Years at Company">
  <location ref="A25:D64" firstHeaderRow="1" firstDataRow="2" firstDataCol="1"/>
  <pivotFields count="35">
    <pivotField showAll="0"/>
    <pivotField axis="axisCol" showAll="0">
      <items count="3">
        <item n="Stayed" x="1"/>
        <item n="Quit"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8">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showAll="0"/>
    <pivotField showAll="0"/>
    <pivotField showAll="0"/>
  </pivotFields>
  <rowFields count="1">
    <field x="31"/>
  </rowFields>
  <rowItems count="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t="grand">
      <x/>
    </i>
  </rowItems>
  <colFields count="1">
    <field x="1"/>
  </colFields>
  <colItems count="3">
    <i>
      <x/>
    </i>
    <i>
      <x v="1"/>
    </i>
    <i t="grand">
      <x/>
    </i>
  </colItems>
  <dataFields count="1">
    <dataField name="Sum of EmployeeCount" fld="8"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F48088-76C9-459C-891B-BEFBBDE3A0D3}"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 Role">
  <location ref="A11:D22" firstHeaderRow="1" firstDataRow="2" firstDataCol="1"/>
  <pivotFields count="35">
    <pivotField showAll="0"/>
    <pivotField axis="axisCol" showAll="0">
      <items count="3">
        <item n="Stayed" x="1"/>
        <item n="Quit"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10">
    <i>
      <x/>
    </i>
    <i>
      <x v="1"/>
    </i>
    <i>
      <x v="2"/>
    </i>
    <i>
      <x v="3"/>
    </i>
    <i>
      <x v="4"/>
    </i>
    <i>
      <x v="5"/>
    </i>
    <i>
      <x v="6"/>
    </i>
    <i>
      <x v="7"/>
    </i>
    <i>
      <x v="8"/>
    </i>
    <i t="grand">
      <x/>
    </i>
  </rowItems>
  <colFields count="1">
    <field x="1"/>
  </colFields>
  <colItems count="3">
    <i>
      <x/>
    </i>
    <i>
      <x v="1"/>
    </i>
    <i t="grand">
      <x/>
    </i>
  </colItems>
  <dataFields count="1">
    <dataField name="Average of MonthlyIncome" fld="18" subtotal="average" baseField="1" baseItem="0" numFmtId="164"/>
  </dataFields>
  <formats count="2">
    <format dxfId="3">
      <pivotArea outline="0" collapsedLevelsAreSubtotals="1" fieldPosition="0"/>
    </format>
    <format dxfId="2">
      <pivotArea outline="0" fieldPosition="0">
        <references count="1">
          <reference field="4294967294" count="1">
            <x v="0"/>
          </reference>
        </references>
      </pivotArea>
    </format>
  </format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632451-E6ED-49E6-ABDA-5552E0D749CD}"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Environment Satisfaction">
  <location ref="G11:J17" firstHeaderRow="1" firstDataRow="2" firstDataCol="1"/>
  <pivotFields count="35">
    <pivotField showAll="0"/>
    <pivotField axis="axisCol" showAll="0">
      <items count="3">
        <item n="Stayed" x="1"/>
        <item n="Quit" x="0"/>
        <item t="default"/>
      </items>
    </pivotField>
    <pivotField showAll="0"/>
    <pivotField showAll="0"/>
    <pivotField showAll="0"/>
    <pivotField showAll="0"/>
    <pivotField showAll="0"/>
    <pivotField showAll="0"/>
    <pivotField dataField="1"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5">
    <i>
      <x/>
    </i>
    <i>
      <x v="1"/>
    </i>
    <i>
      <x v="2"/>
    </i>
    <i>
      <x v="3"/>
    </i>
    <i t="grand">
      <x/>
    </i>
  </rowItems>
  <colFields count="1">
    <field x="1"/>
  </colFields>
  <colItems count="3">
    <i>
      <x/>
    </i>
    <i>
      <x v="1"/>
    </i>
    <i t="grand">
      <x/>
    </i>
  </colItems>
  <dataFields count="1">
    <dataField name="Sum of EmployeeCount" fld="8"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B46878-4352-48EC-99C8-C129F5263670}"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Department">
  <location ref="A3:D8" firstHeaderRow="1" firstDataRow="2" firstDataCol="1"/>
  <pivotFields count="35">
    <pivotField showAll="0"/>
    <pivotField axis="axisCol" showAll="0">
      <items count="3">
        <item n="Stayed" x="1"/>
        <item n="Quit" x="0"/>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Sum of EmployeeCount" fld="8"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 chart="12" format="4" series="1">
      <pivotArea type="data" outline="0" fieldPosition="0">
        <references count="2">
          <reference field="4294967294" count="1" selected="0">
            <x v="0"/>
          </reference>
          <reference field="1" count="1" selected="0">
            <x v="0"/>
          </reference>
        </references>
      </pivotArea>
    </chartFormat>
    <chartFormat chart="12"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99BF12-054C-4425-ABC6-9A66A0B92DD3}" name="PivotTable8"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Work Life Balance">
  <location ref="G19:J25" firstHeaderRow="1" firstDataRow="2" firstDataCol="1"/>
  <pivotFields count="35">
    <pivotField showAll="0"/>
    <pivotField axis="axisCol" showAll="0">
      <items count="3">
        <item n="Stayed" x="1"/>
        <item n="Quit"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showAll="0"/>
    <pivotField showAll="0"/>
  </pivotFields>
  <rowFields count="1">
    <field x="30"/>
  </rowFields>
  <rowItems count="5">
    <i>
      <x/>
    </i>
    <i>
      <x v="1"/>
    </i>
    <i>
      <x v="2"/>
    </i>
    <i>
      <x v="3"/>
    </i>
    <i t="grand">
      <x/>
    </i>
  </rowItems>
  <colFields count="1">
    <field x="1"/>
  </colFields>
  <colItems count="3">
    <i>
      <x/>
    </i>
    <i>
      <x v="1"/>
    </i>
    <i t="grand">
      <x/>
    </i>
  </colItems>
  <dataFields count="1">
    <dataField name="Sum of EmployeeCount" fld="8"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A67E51-BC70-4609-B010-3533F922F4F3}"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verTime">
  <location ref="G27:J31" firstHeaderRow="1" firstDataRow="2" firstDataCol="1"/>
  <pivotFields count="35">
    <pivotField showAll="0"/>
    <pivotField axis="axisCol" showAll="0">
      <items count="3">
        <item n="Stayed" x="1"/>
        <item n="Quit"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n="No Overtime" x="1"/>
        <item n="Overtime"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Sum of EmployeeCount" fld="8"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5450A1-2E0C-4965-8DEE-657B42D62305}"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Job Satisfaction">
  <location ref="G3:J9" firstHeaderRow="1" firstDataRow="2" firstDataCol="1"/>
  <pivotFields count="35">
    <pivotField showAll="0"/>
    <pivotField axis="axisCol" showAll="0">
      <items count="3">
        <item n="Stayed" x="1"/>
        <item n="Quit"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t="grand">
      <x/>
    </i>
  </rowItems>
  <colFields count="1">
    <field x="1"/>
  </colFields>
  <colItems count="3">
    <i>
      <x/>
    </i>
    <i>
      <x v="1"/>
    </i>
    <i t="grand">
      <x/>
    </i>
  </colItems>
  <dataFields count="1">
    <dataField name="Sum of EmployeeCount" fld="8"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B1234BE-1E76-49A3-A7EA-0BB346A4E82D}" sourceName="Department">
  <pivotTables>
    <pivotTable tabId="2" name="PivotTable1"/>
  </pivotTables>
  <data>
    <tabular pivotCacheId="77162733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972814EF-E7A7-46BB-A91B-032140A08CFB}" sourceName="JobRole">
  <pivotTables>
    <pivotTable tabId="2" name="PivotTable3"/>
  </pivotTables>
  <data>
    <tabular pivotCacheId="771627332">
      <items count="9">
        <i x="4" s="1"/>
        <i x="8" s="1"/>
        <i x="2" s="1"/>
        <i x="5" s="1"/>
        <i x="3" s="1"/>
        <i x="7" s="1"/>
        <i x="1"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39ACC9B8-BDBC-4503-A308-B940178402C2}" sourceName="JobSatisfaction">
  <pivotTables>
    <pivotTable tabId="2" name="PivotTable5"/>
  </pivotTables>
  <data>
    <tabular pivotCacheId="771627332">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353416F5-8A4E-451F-A0C8-235A45D104A3}" sourceName="OverTime">
  <pivotTables>
    <pivotTable tabId="2" name="PivotTable6"/>
  </pivotTables>
  <data>
    <tabular pivotCacheId="77162733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shboard Department" xr10:uid="{AD596A64-F5BB-4FA6-80E2-045F7FD1FADF}" cache="Slicer_Department" caption="Department" style="SlicerStyleLight2" rowHeight="251883"/>
  <slicer name="Dashboard Job Role" xr10:uid="{C59411F8-1C17-491C-9EDA-61E9E0F7E793}" cache="Slicer_JobRole" caption="Job Role" style="SlicerStyleLight2" rowHeight="251883"/>
  <slicer name="Dashboard Job Satisfaction" xr10:uid="{4EB8F381-1F90-4F31-B26D-46F26A416CC1}" cache="Slicer_JobSatisfaction" caption="Job Satisfaction" style="SlicerStyleLight2" rowHeight="251883"/>
  <slicer name="Dashboard Overtime" xr10:uid="{E8E36E29-9D4C-4AC0-8560-3609CEED7A1B}" cache="Slicer_OverTime" caption="Overtime" style="SlicerStyleLight2"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9858D-0999-45C8-AE2C-67E64B21830F}">
  <dimension ref="A3:K64"/>
  <sheetViews>
    <sheetView zoomScaleNormal="100" workbookViewId="0">
      <selection activeCell="F11" sqref="F11"/>
    </sheetView>
  </sheetViews>
  <sheetFormatPr defaultRowHeight="14.5" x14ac:dyDescent="0.35"/>
  <cols>
    <col min="1" max="1" width="23" bestFit="1" customWidth="1"/>
    <col min="2" max="2" width="15.6328125" bestFit="1" customWidth="1"/>
    <col min="3" max="3" width="9.90625" bestFit="1" customWidth="1"/>
    <col min="4" max="4" width="10.36328125" bestFit="1" customWidth="1"/>
    <col min="5" max="5" width="16.453125" customWidth="1"/>
    <col min="6" max="6" width="7.81640625" customWidth="1"/>
    <col min="7" max="7" width="20.453125" bestFit="1" customWidth="1"/>
    <col min="8" max="8" width="15.6328125" bestFit="1" customWidth="1"/>
    <col min="9" max="9" width="4.36328125" bestFit="1" customWidth="1"/>
    <col min="10" max="10" width="10.36328125" bestFit="1" customWidth="1"/>
    <col min="11" max="11" width="20.1796875" customWidth="1"/>
    <col min="12" max="12" width="25.90625" bestFit="1" customWidth="1"/>
  </cols>
  <sheetData>
    <row r="3" spans="1:11" x14ac:dyDescent="0.35">
      <c r="A3" s="1" t="s">
        <v>63</v>
      </c>
      <c r="B3" s="1" t="s">
        <v>64</v>
      </c>
      <c r="G3" s="1" t="s">
        <v>63</v>
      </c>
      <c r="H3" s="1" t="s">
        <v>64</v>
      </c>
    </row>
    <row r="4" spans="1:11" x14ac:dyDescent="0.35">
      <c r="A4" s="1" t="s">
        <v>4</v>
      </c>
      <c r="B4" t="s">
        <v>69</v>
      </c>
      <c r="C4" t="s">
        <v>70</v>
      </c>
      <c r="D4" t="s">
        <v>62</v>
      </c>
      <c r="E4" t="s">
        <v>71</v>
      </c>
      <c r="G4" s="1" t="s">
        <v>66</v>
      </c>
      <c r="H4" t="s">
        <v>69</v>
      </c>
      <c r="I4" t="s">
        <v>70</v>
      </c>
      <c r="J4" t="s">
        <v>62</v>
      </c>
      <c r="K4" t="s">
        <v>71</v>
      </c>
    </row>
    <row r="5" spans="1:11" x14ac:dyDescent="0.35">
      <c r="A5" s="2" t="s">
        <v>61</v>
      </c>
      <c r="B5" s="21">
        <v>51</v>
      </c>
      <c r="C5" s="21">
        <v>12</v>
      </c>
      <c r="D5" s="21">
        <v>63</v>
      </c>
      <c r="E5" s="4">
        <f>GETPIVOTDATA("EmployeeCount",$A$3,"Attrition","Quit","Department","Human Resources")/GETPIVOTDATA("EmployeeCount",$A$3,"Department","Human Resources")</f>
        <v>0.19047619047619047</v>
      </c>
      <c r="G5" s="2">
        <v>1</v>
      </c>
      <c r="H5" s="21">
        <v>223</v>
      </c>
      <c r="I5" s="21">
        <v>66</v>
      </c>
      <c r="J5" s="21">
        <v>289</v>
      </c>
      <c r="K5" s="3">
        <v>0.22837370242214533</v>
      </c>
    </row>
    <row r="6" spans="1:11" x14ac:dyDescent="0.35">
      <c r="A6" s="2" t="s">
        <v>45</v>
      </c>
      <c r="B6" s="21">
        <v>828</v>
      </c>
      <c r="C6" s="21">
        <v>133</v>
      </c>
      <c r="D6" s="21">
        <v>961</v>
      </c>
      <c r="E6" s="4">
        <f>GETPIVOTDATA("EmployeeCount",$A$3,"Attrition","Quit","Department","Research &amp; Development")/GETPIVOTDATA("EmployeeCount",$A$3,"Department","Research &amp; Development")</f>
        <v>0.13839750260145681</v>
      </c>
      <c r="G6" s="2">
        <v>2</v>
      </c>
      <c r="H6" s="21">
        <v>234</v>
      </c>
      <c r="I6" s="21">
        <v>46</v>
      </c>
      <c r="J6" s="21">
        <v>280</v>
      </c>
      <c r="K6" s="3">
        <v>0.16428571428571428</v>
      </c>
    </row>
    <row r="7" spans="1:11" x14ac:dyDescent="0.35">
      <c r="A7" s="2" t="s">
        <v>37</v>
      </c>
      <c r="B7" s="21">
        <v>354</v>
      </c>
      <c r="C7" s="21">
        <v>92</v>
      </c>
      <c r="D7" s="21">
        <v>446</v>
      </c>
      <c r="E7" s="4">
        <f>GETPIVOTDATA("EmployeeCount",$A$3,"Attrition","Quit","Department","Sales")/GETPIVOTDATA("EmployeeCount",$A$3,"Department","Sales")</f>
        <v>0.20627802690582961</v>
      </c>
      <c r="G7" s="2">
        <v>3</v>
      </c>
      <c r="H7" s="21">
        <v>369</v>
      </c>
      <c r="I7" s="21">
        <v>73</v>
      </c>
      <c r="J7" s="21">
        <v>442</v>
      </c>
      <c r="K7" s="3">
        <v>0.16515837104072401</v>
      </c>
    </row>
    <row r="8" spans="1:11" x14ac:dyDescent="0.35">
      <c r="A8" s="2" t="s">
        <v>62</v>
      </c>
      <c r="B8" s="21">
        <v>1233</v>
      </c>
      <c r="C8" s="21">
        <v>237</v>
      </c>
      <c r="D8" s="21">
        <v>1470</v>
      </c>
      <c r="E8" s="6">
        <v>0.16122448979591836</v>
      </c>
      <c r="G8" s="2">
        <v>4</v>
      </c>
      <c r="H8" s="21">
        <v>407</v>
      </c>
      <c r="I8" s="21">
        <v>52</v>
      </c>
      <c r="J8" s="21">
        <v>459</v>
      </c>
      <c r="K8" s="3">
        <v>0.11328976034858387</v>
      </c>
    </row>
    <row r="9" spans="1:11" x14ac:dyDescent="0.35">
      <c r="G9" s="2" t="s">
        <v>62</v>
      </c>
      <c r="H9" s="21">
        <v>1233</v>
      </c>
      <c r="I9" s="21">
        <v>237</v>
      </c>
      <c r="J9" s="21">
        <v>1470</v>
      </c>
      <c r="K9" s="6">
        <v>0.16122448979591836</v>
      </c>
    </row>
    <row r="11" spans="1:11" x14ac:dyDescent="0.35">
      <c r="A11" s="1" t="s">
        <v>65</v>
      </c>
      <c r="B11" s="1" t="s">
        <v>64</v>
      </c>
      <c r="G11" s="1" t="s">
        <v>63</v>
      </c>
      <c r="H11" s="1" t="s">
        <v>64</v>
      </c>
    </row>
    <row r="12" spans="1:11" x14ac:dyDescent="0.35">
      <c r="A12" s="1" t="s">
        <v>72</v>
      </c>
      <c r="B12" t="s">
        <v>69</v>
      </c>
      <c r="C12" t="s">
        <v>70</v>
      </c>
      <c r="D12" t="s">
        <v>62</v>
      </c>
      <c r="E12" t="s">
        <v>71</v>
      </c>
      <c r="G12" s="1" t="s">
        <v>67</v>
      </c>
      <c r="H12" t="s">
        <v>69</v>
      </c>
      <c r="I12" t="s">
        <v>70</v>
      </c>
      <c r="J12" t="s">
        <v>62</v>
      </c>
      <c r="K12" t="s">
        <v>71</v>
      </c>
    </row>
    <row r="13" spans="1:11" x14ac:dyDescent="0.35">
      <c r="A13" s="2" t="s">
        <v>54</v>
      </c>
      <c r="B13" s="5">
        <v>7453.5573770491801</v>
      </c>
      <c r="C13" s="5">
        <v>8548.2222222222226</v>
      </c>
      <c r="D13" s="5">
        <v>7528.7633587786258</v>
      </c>
      <c r="E13" s="3">
        <v>1.1354085411988539</v>
      </c>
      <c r="G13" s="2">
        <v>1</v>
      </c>
      <c r="H13">
        <v>212</v>
      </c>
      <c r="I13">
        <v>72</v>
      </c>
      <c r="J13">
        <v>284</v>
      </c>
      <c r="K13" s="3">
        <v>0.25352112676056338</v>
      </c>
    </row>
    <row r="14" spans="1:11" x14ac:dyDescent="0.35">
      <c r="A14" s="2" t="s">
        <v>61</v>
      </c>
      <c r="B14" s="5">
        <v>4391.75</v>
      </c>
      <c r="C14" s="5">
        <v>3715.75</v>
      </c>
      <c r="D14" s="5">
        <v>4235.75</v>
      </c>
      <c r="E14" s="3">
        <v>0.87723543646343627</v>
      </c>
      <c r="G14" s="2">
        <v>2</v>
      </c>
      <c r="H14">
        <v>244</v>
      </c>
      <c r="I14">
        <v>43</v>
      </c>
      <c r="J14">
        <v>287</v>
      </c>
      <c r="K14" s="3">
        <v>0.14982578397212543</v>
      </c>
    </row>
    <row r="15" spans="1:11" x14ac:dyDescent="0.35">
      <c r="A15" s="2" t="s">
        <v>50</v>
      </c>
      <c r="B15" s="5">
        <v>3337.223350253807</v>
      </c>
      <c r="C15" s="5">
        <v>2919.2580645161293</v>
      </c>
      <c r="D15" s="5">
        <v>3237.169884169884</v>
      </c>
      <c r="E15" s="3">
        <v>0.90179328517530744</v>
      </c>
      <c r="G15" s="2">
        <v>3</v>
      </c>
      <c r="H15">
        <v>391</v>
      </c>
      <c r="I15">
        <v>62</v>
      </c>
      <c r="J15">
        <v>453</v>
      </c>
      <c r="K15" s="3">
        <v>0.13686534216335541</v>
      </c>
    </row>
    <row r="16" spans="1:11" x14ac:dyDescent="0.35">
      <c r="A16" s="2" t="s">
        <v>56</v>
      </c>
      <c r="B16" s="5">
        <v>17201.484536082473</v>
      </c>
      <c r="C16" s="5">
        <v>16797.400000000001</v>
      </c>
      <c r="D16" s="5">
        <v>17181.676470588234</v>
      </c>
      <c r="E16" s="3">
        <v>0.97763451830523984</v>
      </c>
      <c r="G16" s="2">
        <v>4</v>
      </c>
      <c r="H16">
        <v>386</v>
      </c>
      <c r="I16">
        <v>60</v>
      </c>
      <c r="J16">
        <v>446</v>
      </c>
      <c r="K16" s="3">
        <v>0.13452914798206278</v>
      </c>
    </row>
    <row r="17" spans="1:11" x14ac:dyDescent="0.35">
      <c r="A17" s="2" t="s">
        <v>53</v>
      </c>
      <c r="B17" s="5">
        <v>7289.9259259259261</v>
      </c>
      <c r="C17" s="5">
        <v>7365.5</v>
      </c>
      <c r="D17" s="5">
        <v>7295.1379310344828</v>
      </c>
      <c r="E17" s="3">
        <v>1.0096450635520116</v>
      </c>
      <c r="G17" s="2" t="s">
        <v>62</v>
      </c>
      <c r="H17">
        <v>1233</v>
      </c>
      <c r="I17">
        <v>237</v>
      </c>
      <c r="J17">
        <v>1470</v>
      </c>
      <c r="K17" s="6">
        <v>0.16122448979591836</v>
      </c>
    </row>
    <row r="18" spans="1:11" x14ac:dyDescent="0.35">
      <c r="A18" s="2" t="s">
        <v>58</v>
      </c>
      <c r="B18" s="5">
        <v>15947.346153846154</v>
      </c>
      <c r="C18" s="5">
        <v>19395.5</v>
      </c>
      <c r="D18" s="5">
        <v>16033.55</v>
      </c>
      <c r="E18" s="3">
        <v>1.2096821976418199</v>
      </c>
    </row>
    <row r="19" spans="1:11" x14ac:dyDescent="0.35">
      <c r="A19" s="2" t="s">
        <v>47</v>
      </c>
      <c r="B19" s="5">
        <v>3328.1224489795918</v>
      </c>
      <c r="C19" s="5">
        <v>2780.4680851063831</v>
      </c>
      <c r="D19" s="5">
        <v>3239.972602739726</v>
      </c>
      <c r="E19" s="3">
        <v>0.85817641876206452</v>
      </c>
      <c r="G19" s="1" t="s">
        <v>63</v>
      </c>
      <c r="H19" s="1" t="s">
        <v>64</v>
      </c>
    </row>
    <row r="20" spans="1:11" x14ac:dyDescent="0.35">
      <c r="A20" s="2" t="s">
        <v>40</v>
      </c>
      <c r="B20" s="5">
        <v>6804.6171003717473</v>
      </c>
      <c r="C20" s="5">
        <v>7489</v>
      </c>
      <c r="D20" s="5">
        <v>6924.2791411042945</v>
      </c>
      <c r="E20" s="3">
        <v>1.0815566281179188</v>
      </c>
      <c r="G20" s="1" t="s">
        <v>68</v>
      </c>
      <c r="H20" t="s">
        <v>69</v>
      </c>
      <c r="I20" t="s">
        <v>70</v>
      </c>
      <c r="J20" t="s">
        <v>62</v>
      </c>
      <c r="K20" t="s">
        <v>71</v>
      </c>
    </row>
    <row r="21" spans="1:11" x14ac:dyDescent="0.35">
      <c r="A21" s="2" t="s">
        <v>57</v>
      </c>
      <c r="B21" s="5">
        <v>2798.44</v>
      </c>
      <c r="C21" s="5">
        <v>2364.7272727272725</v>
      </c>
      <c r="D21" s="5">
        <v>2626</v>
      </c>
      <c r="E21" s="3">
        <v>0.90050543515890047</v>
      </c>
      <c r="G21" s="2">
        <v>1</v>
      </c>
      <c r="H21">
        <v>55</v>
      </c>
      <c r="I21">
        <v>25</v>
      </c>
      <c r="J21">
        <v>80</v>
      </c>
      <c r="K21" s="3">
        <v>0.3125</v>
      </c>
    </row>
    <row r="22" spans="1:11" x14ac:dyDescent="0.35">
      <c r="A22" s="2" t="s">
        <v>62</v>
      </c>
      <c r="B22" s="5">
        <v>6832.7396593673966</v>
      </c>
      <c r="C22" s="5">
        <v>4787.0928270042195</v>
      </c>
      <c r="D22" s="5">
        <v>6502.931292517007</v>
      </c>
      <c r="E22" s="6">
        <v>0.73614384216434503</v>
      </c>
      <c r="G22" s="2">
        <v>2</v>
      </c>
      <c r="H22">
        <v>286</v>
      </c>
      <c r="I22">
        <v>58</v>
      </c>
      <c r="J22">
        <v>344</v>
      </c>
      <c r="K22" s="3">
        <v>0.16860465116279069</v>
      </c>
    </row>
    <row r="23" spans="1:11" x14ac:dyDescent="0.35">
      <c r="G23" s="2">
        <v>3</v>
      </c>
      <c r="H23">
        <v>766</v>
      </c>
      <c r="I23">
        <v>127</v>
      </c>
      <c r="J23">
        <v>893</v>
      </c>
      <c r="K23" s="3">
        <v>0.14221724524076149</v>
      </c>
    </row>
    <row r="24" spans="1:11" x14ac:dyDescent="0.35">
      <c r="G24" s="2">
        <v>4</v>
      </c>
      <c r="H24">
        <v>126</v>
      </c>
      <c r="I24">
        <v>27</v>
      </c>
      <c r="J24">
        <v>153</v>
      </c>
      <c r="K24" s="3">
        <v>0.17647058823529413</v>
      </c>
    </row>
    <row r="25" spans="1:11" x14ac:dyDescent="0.35">
      <c r="A25" s="1" t="s">
        <v>63</v>
      </c>
      <c r="B25" s="1" t="s">
        <v>64</v>
      </c>
      <c r="G25" s="2" t="s">
        <v>62</v>
      </c>
      <c r="H25">
        <v>1233</v>
      </c>
      <c r="I25">
        <v>237</v>
      </c>
      <c r="J25">
        <v>1470</v>
      </c>
      <c r="K25" s="6">
        <v>0.16122448979591836</v>
      </c>
    </row>
    <row r="26" spans="1:11" x14ac:dyDescent="0.35">
      <c r="A26" s="1" t="s">
        <v>73</v>
      </c>
      <c r="B26" t="s">
        <v>69</v>
      </c>
      <c r="C26" t="s">
        <v>70</v>
      </c>
      <c r="D26" t="s">
        <v>62</v>
      </c>
    </row>
    <row r="27" spans="1:11" x14ac:dyDescent="0.35">
      <c r="A27" s="2">
        <v>0</v>
      </c>
      <c r="B27">
        <v>28</v>
      </c>
      <c r="C27">
        <v>16</v>
      </c>
      <c r="D27">
        <v>44</v>
      </c>
      <c r="G27" s="1" t="s">
        <v>63</v>
      </c>
      <c r="H27" s="1" t="s">
        <v>64</v>
      </c>
    </row>
    <row r="28" spans="1:11" x14ac:dyDescent="0.35">
      <c r="A28" s="2">
        <v>1</v>
      </c>
      <c r="B28">
        <v>112</v>
      </c>
      <c r="C28">
        <v>59</v>
      </c>
      <c r="D28">
        <v>171</v>
      </c>
      <c r="G28" s="1" t="s">
        <v>22</v>
      </c>
      <c r="H28" t="s">
        <v>69</v>
      </c>
      <c r="I28" t="s">
        <v>70</v>
      </c>
      <c r="J28" t="s">
        <v>62</v>
      </c>
      <c r="K28" t="s">
        <v>71</v>
      </c>
    </row>
    <row r="29" spans="1:11" x14ac:dyDescent="0.35">
      <c r="A29" s="2">
        <v>2</v>
      </c>
      <c r="B29">
        <v>100</v>
      </c>
      <c r="C29">
        <v>27</v>
      </c>
      <c r="D29">
        <v>127</v>
      </c>
      <c r="G29" s="2" t="s">
        <v>74</v>
      </c>
      <c r="H29" s="21">
        <v>944</v>
      </c>
      <c r="I29" s="21">
        <v>110</v>
      </c>
      <c r="J29" s="21">
        <v>1054</v>
      </c>
      <c r="K29" s="3">
        <v>0.10436432637571158</v>
      </c>
    </row>
    <row r="30" spans="1:11" x14ac:dyDescent="0.35">
      <c r="A30" s="2">
        <v>3</v>
      </c>
      <c r="B30">
        <v>108</v>
      </c>
      <c r="C30">
        <v>20</v>
      </c>
      <c r="D30">
        <v>128</v>
      </c>
      <c r="G30" s="2" t="s">
        <v>75</v>
      </c>
      <c r="H30" s="21">
        <v>289</v>
      </c>
      <c r="I30" s="21">
        <v>127</v>
      </c>
      <c r="J30" s="21">
        <v>416</v>
      </c>
      <c r="K30" s="3">
        <v>0.30528846153846156</v>
      </c>
    </row>
    <row r="31" spans="1:11" x14ac:dyDescent="0.35">
      <c r="A31" s="2">
        <v>4</v>
      </c>
      <c r="B31">
        <v>91</v>
      </c>
      <c r="C31">
        <v>19</v>
      </c>
      <c r="D31">
        <v>110</v>
      </c>
      <c r="G31" s="2" t="s">
        <v>62</v>
      </c>
      <c r="H31" s="21">
        <v>1233</v>
      </c>
      <c r="I31" s="21">
        <v>237</v>
      </c>
      <c r="J31" s="21">
        <v>1470</v>
      </c>
      <c r="K31" s="6">
        <v>0.16122448979591836</v>
      </c>
    </row>
    <row r="32" spans="1:11" x14ac:dyDescent="0.35">
      <c r="A32" s="2">
        <v>5</v>
      </c>
      <c r="B32">
        <v>175</v>
      </c>
      <c r="C32">
        <v>21</v>
      </c>
      <c r="D32">
        <v>196</v>
      </c>
    </row>
    <row r="33" spans="1:4" x14ac:dyDescent="0.35">
      <c r="A33" s="2">
        <v>6</v>
      </c>
      <c r="B33">
        <v>67</v>
      </c>
      <c r="C33">
        <v>9</v>
      </c>
      <c r="D33">
        <v>76</v>
      </c>
    </row>
    <row r="34" spans="1:4" x14ac:dyDescent="0.35">
      <c r="A34" s="2">
        <v>7</v>
      </c>
      <c r="B34">
        <v>79</v>
      </c>
      <c r="C34">
        <v>11</v>
      </c>
      <c r="D34">
        <v>90</v>
      </c>
    </row>
    <row r="35" spans="1:4" x14ac:dyDescent="0.35">
      <c r="A35" s="2">
        <v>8</v>
      </c>
      <c r="B35">
        <v>71</v>
      </c>
      <c r="C35">
        <v>9</v>
      </c>
      <c r="D35">
        <v>80</v>
      </c>
    </row>
    <row r="36" spans="1:4" x14ac:dyDescent="0.35">
      <c r="A36" s="2">
        <v>9</v>
      </c>
      <c r="B36">
        <v>74</v>
      </c>
      <c r="C36">
        <v>8</v>
      </c>
      <c r="D36">
        <v>82</v>
      </c>
    </row>
    <row r="37" spans="1:4" x14ac:dyDescent="0.35">
      <c r="A37" s="2">
        <v>10</v>
      </c>
      <c r="B37">
        <v>102</v>
      </c>
      <c r="C37">
        <v>18</v>
      </c>
      <c r="D37">
        <v>120</v>
      </c>
    </row>
    <row r="38" spans="1:4" x14ac:dyDescent="0.35">
      <c r="A38" s="2">
        <v>11</v>
      </c>
      <c r="B38">
        <v>30</v>
      </c>
      <c r="C38">
        <v>2</v>
      </c>
      <c r="D38">
        <v>32</v>
      </c>
    </row>
    <row r="39" spans="1:4" x14ac:dyDescent="0.35">
      <c r="A39" s="2">
        <v>12</v>
      </c>
      <c r="B39">
        <v>14</v>
      </c>
      <c r="D39">
        <v>14</v>
      </c>
    </row>
    <row r="40" spans="1:4" x14ac:dyDescent="0.35">
      <c r="A40" s="2">
        <v>13</v>
      </c>
      <c r="B40">
        <v>22</v>
      </c>
      <c r="C40">
        <v>2</v>
      </c>
      <c r="D40">
        <v>24</v>
      </c>
    </row>
    <row r="41" spans="1:4" x14ac:dyDescent="0.35">
      <c r="A41" s="2">
        <v>14</v>
      </c>
      <c r="B41">
        <v>16</v>
      </c>
      <c r="C41">
        <v>2</v>
      </c>
      <c r="D41">
        <v>18</v>
      </c>
    </row>
    <row r="42" spans="1:4" x14ac:dyDescent="0.35">
      <c r="A42" s="2">
        <v>15</v>
      </c>
      <c r="B42">
        <v>19</v>
      </c>
      <c r="C42">
        <v>1</v>
      </c>
      <c r="D42">
        <v>20</v>
      </c>
    </row>
    <row r="43" spans="1:4" x14ac:dyDescent="0.35">
      <c r="A43" s="2">
        <v>16</v>
      </c>
      <c r="B43">
        <v>11</v>
      </c>
      <c r="C43">
        <v>1</v>
      </c>
      <c r="D43">
        <v>12</v>
      </c>
    </row>
    <row r="44" spans="1:4" x14ac:dyDescent="0.35">
      <c r="A44" s="2">
        <v>17</v>
      </c>
      <c r="B44">
        <v>8</v>
      </c>
      <c r="C44">
        <v>1</v>
      </c>
      <c r="D44">
        <v>9</v>
      </c>
    </row>
    <row r="45" spans="1:4" x14ac:dyDescent="0.35">
      <c r="A45" s="2">
        <v>18</v>
      </c>
      <c r="B45">
        <v>12</v>
      </c>
      <c r="C45">
        <v>1</v>
      </c>
      <c r="D45">
        <v>13</v>
      </c>
    </row>
    <row r="46" spans="1:4" x14ac:dyDescent="0.35">
      <c r="A46" s="2">
        <v>19</v>
      </c>
      <c r="B46">
        <v>10</v>
      </c>
      <c r="C46">
        <v>1</v>
      </c>
      <c r="D46">
        <v>11</v>
      </c>
    </row>
    <row r="47" spans="1:4" x14ac:dyDescent="0.35">
      <c r="A47" s="2">
        <v>20</v>
      </c>
      <c r="B47">
        <v>26</v>
      </c>
      <c r="C47">
        <v>1</v>
      </c>
      <c r="D47">
        <v>27</v>
      </c>
    </row>
    <row r="48" spans="1:4" x14ac:dyDescent="0.35">
      <c r="A48" s="2">
        <v>21</v>
      </c>
      <c r="B48">
        <v>13</v>
      </c>
      <c r="C48">
        <v>1</v>
      </c>
      <c r="D48">
        <v>14</v>
      </c>
    </row>
    <row r="49" spans="1:4" x14ac:dyDescent="0.35">
      <c r="A49" s="2">
        <v>22</v>
      </c>
      <c r="B49">
        <v>14</v>
      </c>
      <c r="C49">
        <v>1</v>
      </c>
      <c r="D49">
        <v>15</v>
      </c>
    </row>
    <row r="50" spans="1:4" x14ac:dyDescent="0.35">
      <c r="A50" s="2">
        <v>23</v>
      </c>
      <c r="B50">
        <v>1</v>
      </c>
      <c r="C50">
        <v>1</v>
      </c>
      <c r="D50">
        <v>2</v>
      </c>
    </row>
    <row r="51" spans="1:4" x14ac:dyDescent="0.35">
      <c r="A51" s="2">
        <v>24</v>
      </c>
      <c r="B51">
        <v>5</v>
      </c>
      <c r="C51">
        <v>1</v>
      </c>
      <c r="D51">
        <v>6</v>
      </c>
    </row>
    <row r="52" spans="1:4" x14ac:dyDescent="0.35">
      <c r="A52" s="2">
        <v>25</v>
      </c>
      <c r="B52">
        <v>4</v>
      </c>
      <c r="D52">
        <v>4</v>
      </c>
    </row>
    <row r="53" spans="1:4" x14ac:dyDescent="0.35">
      <c r="A53" s="2">
        <v>26</v>
      </c>
      <c r="B53">
        <v>4</v>
      </c>
      <c r="D53">
        <v>4</v>
      </c>
    </row>
    <row r="54" spans="1:4" x14ac:dyDescent="0.35">
      <c r="A54" s="2">
        <v>27</v>
      </c>
      <c r="B54">
        <v>2</v>
      </c>
      <c r="D54">
        <v>2</v>
      </c>
    </row>
    <row r="55" spans="1:4" x14ac:dyDescent="0.35">
      <c r="A55" s="2">
        <v>29</v>
      </c>
      <c r="B55">
        <v>2</v>
      </c>
      <c r="D55">
        <v>2</v>
      </c>
    </row>
    <row r="56" spans="1:4" x14ac:dyDescent="0.35">
      <c r="A56" s="2">
        <v>30</v>
      </c>
      <c r="B56">
        <v>1</v>
      </c>
      <c r="D56">
        <v>1</v>
      </c>
    </row>
    <row r="57" spans="1:4" x14ac:dyDescent="0.35">
      <c r="A57" s="2">
        <v>31</v>
      </c>
      <c r="B57">
        <v>2</v>
      </c>
      <c r="C57">
        <v>1</v>
      </c>
      <c r="D57">
        <v>3</v>
      </c>
    </row>
    <row r="58" spans="1:4" x14ac:dyDescent="0.35">
      <c r="A58" s="2">
        <v>32</v>
      </c>
      <c r="B58">
        <v>2</v>
      </c>
      <c r="C58">
        <v>1</v>
      </c>
      <c r="D58">
        <v>3</v>
      </c>
    </row>
    <row r="59" spans="1:4" x14ac:dyDescent="0.35">
      <c r="A59" s="2">
        <v>33</v>
      </c>
      <c r="B59">
        <v>4</v>
      </c>
      <c r="C59">
        <v>1</v>
      </c>
      <c r="D59">
        <v>5</v>
      </c>
    </row>
    <row r="60" spans="1:4" x14ac:dyDescent="0.35">
      <c r="A60" s="2">
        <v>34</v>
      </c>
      <c r="B60">
        <v>1</v>
      </c>
      <c r="D60">
        <v>1</v>
      </c>
    </row>
    <row r="61" spans="1:4" x14ac:dyDescent="0.35">
      <c r="A61" s="2">
        <v>36</v>
      </c>
      <c r="B61">
        <v>2</v>
      </c>
      <c r="D61">
        <v>2</v>
      </c>
    </row>
    <row r="62" spans="1:4" x14ac:dyDescent="0.35">
      <c r="A62" s="2">
        <v>37</v>
      </c>
      <c r="B62">
        <v>1</v>
      </c>
      <c r="D62">
        <v>1</v>
      </c>
    </row>
    <row r="63" spans="1:4" x14ac:dyDescent="0.35">
      <c r="A63" s="2">
        <v>40</v>
      </c>
      <c r="C63">
        <v>1</v>
      </c>
      <c r="D63">
        <v>1</v>
      </c>
    </row>
    <row r="64" spans="1:4" x14ac:dyDescent="0.35">
      <c r="A64" s="2" t="s">
        <v>62</v>
      </c>
      <c r="B64">
        <v>1233</v>
      </c>
      <c r="C64">
        <v>237</v>
      </c>
      <c r="D64">
        <v>1470</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504E4-ED39-4985-A551-7C1AB42F1069}">
  <dimension ref="A1:T90"/>
  <sheetViews>
    <sheetView showGridLines="0" tabSelected="1" workbookViewId="0">
      <selection activeCell="U6" sqref="U6"/>
    </sheetView>
  </sheetViews>
  <sheetFormatPr defaultRowHeight="14.5" x14ac:dyDescent="0.35"/>
  <cols>
    <col min="1" max="20" width="9.81640625" customWidth="1"/>
  </cols>
  <sheetData>
    <row r="1" spans="1:20" ht="38" customHeight="1" x14ac:dyDescent="0.35">
      <c r="A1" s="8" t="s">
        <v>76</v>
      </c>
      <c r="B1" s="8"/>
      <c r="C1" s="8"/>
      <c r="D1" s="8"/>
      <c r="E1" s="8"/>
      <c r="F1" s="8"/>
      <c r="G1" s="8"/>
      <c r="H1" s="8"/>
      <c r="I1" s="8"/>
      <c r="J1" s="8"/>
      <c r="K1" s="8"/>
      <c r="L1" s="8"/>
      <c r="M1" s="8"/>
      <c r="N1" s="8"/>
      <c r="O1" s="8"/>
      <c r="P1" s="8"/>
      <c r="Q1" s="8"/>
      <c r="R1" s="8"/>
      <c r="S1" s="8"/>
      <c r="T1" s="8"/>
    </row>
    <row r="2" spans="1:20" ht="24" customHeight="1" x14ac:dyDescent="0.35">
      <c r="A2" s="9" t="s">
        <v>77</v>
      </c>
      <c r="B2" s="9"/>
      <c r="C2" s="9"/>
      <c r="D2" s="9"/>
      <c r="E2" s="9"/>
      <c r="F2" s="9"/>
      <c r="G2" s="9"/>
      <c r="H2" s="9"/>
      <c r="I2" s="9"/>
      <c r="J2" s="9"/>
      <c r="K2" s="9"/>
      <c r="L2" s="9"/>
      <c r="M2" s="9"/>
      <c r="N2" s="9"/>
      <c r="O2" s="9"/>
      <c r="P2" s="9"/>
      <c r="Q2" s="9"/>
      <c r="R2" s="9"/>
      <c r="S2" s="9"/>
      <c r="T2" s="9"/>
    </row>
    <row r="3" spans="1:20" ht="20" customHeight="1" x14ac:dyDescent="0.35">
      <c r="A3" s="12" t="s">
        <v>78</v>
      </c>
      <c r="B3" s="12"/>
      <c r="C3" s="12"/>
      <c r="D3" s="12"/>
      <c r="E3" s="12" t="s">
        <v>80</v>
      </c>
      <c r="F3" s="12"/>
      <c r="G3" s="12"/>
      <c r="H3" s="12"/>
      <c r="I3" s="12" t="s">
        <v>82</v>
      </c>
      <c r="J3" s="12"/>
      <c r="K3" s="12"/>
      <c r="L3" s="12"/>
      <c r="M3" s="12" t="s">
        <v>84</v>
      </c>
      <c r="N3" s="12"/>
      <c r="O3" s="12"/>
      <c r="P3" s="12"/>
      <c r="Q3" s="12" t="s">
        <v>86</v>
      </c>
      <c r="R3" s="12"/>
      <c r="S3" s="12"/>
      <c r="T3" s="12"/>
    </row>
    <row r="4" spans="1:20" ht="20" customHeight="1" x14ac:dyDescent="0.35">
      <c r="A4" s="11">
        <f>SUM('WA_Fn-UseC_-HR-Employee-Attriti'!I2:I1471)</f>
        <v>1470</v>
      </c>
      <c r="B4" s="11"/>
      <c r="C4" s="11"/>
      <c r="D4" s="11"/>
      <c r="E4" s="14">
        <f>COUNTIF('WA_Fn-UseC_-HR-Employee-Attriti'!B2:B1471,"Yes")</f>
        <v>237</v>
      </c>
      <c r="F4" s="14"/>
      <c r="G4" s="14"/>
      <c r="H4" s="14"/>
      <c r="I4" s="15">
        <f>E4/A4</f>
        <v>0.16122448979591836</v>
      </c>
      <c r="J4" s="15"/>
      <c r="K4" s="15"/>
      <c r="L4" s="15"/>
      <c r="M4" s="17">
        <f>AVERAGE('WA_Fn-UseC_-HR-Employee-Attriti'!S2:S1471)</f>
        <v>6502.931292517007</v>
      </c>
      <c r="N4" s="17"/>
      <c r="O4" s="17"/>
      <c r="P4" s="17"/>
      <c r="Q4" s="19">
        <f>AVERAGE('WA_Fn-UseC_-HR-Employee-Attriti'!AF2:AF1471)</f>
        <v>7.0081632653061225</v>
      </c>
      <c r="R4" s="19"/>
      <c r="S4" s="19"/>
      <c r="T4" s="19"/>
    </row>
    <row r="5" spans="1:20" ht="20" customHeight="1" x14ac:dyDescent="0.35">
      <c r="A5" s="11"/>
      <c r="B5" s="11"/>
      <c r="C5" s="11"/>
      <c r="D5" s="11"/>
      <c r="E5" s="14"/>
      <c r="F5" s="14"/>
      <c r="G5" s="14"/>
      <c r="H5" s="14"/>
      <c r="I5" s="15"/>
      <c r="J5" s="15"/>
      <c r="K5" s="15"/>
      <c r="L5" s="15"/>
      <c r="M5" s="17"/>
      <c r="N5" s="17"/>
      <c r="O5" s="17"/>
      <c r="P5" s="17"/>
      <c r="Q5" s="19"/>
      <c r="R5" s="19"/>
      <c r="S5" s="19"/>
      <c r="T5" s="19"/>
    </row>
    <row r="6" spans="1:20" ht="20" customHeight="1" thickBot="1" x14ac:dyDescent="0.4">
      <c r="A6" s="10" t="s">
        <v>79</v>
      </c>
      <c r="B6" s="10"/>
      <c r="C6" s="10"/>
      <c r="D6" s="10"/>
      <c r="E6" s="13" t="s">
        <v>81</v>
      </c>
      <c r="F6" s="13"/>
      <c r="G6" s="13"/>
      <c r="H6" s="13"/>
      <c r="I6" s="13" t="s">
        <v>83</v>
      </c>
      <c r="J6" s="13"/>
      <c r="K6" s="13"/>
      <c r="L6" s="13"/>
      <c r="M6" s="16" t="s">
        <v>85</v>
      </c>
      <c r="N6" s="16"/>
      <c r="O6" s="16"/>
      <c r="P6" s="16"/>
      <c r="Q6" s="18" t="s">
        <v>87</v>
      </c>
      <c r="R6" s="18"/>
      <c r="S6" s="18"/>
      <c r="T6" s="18"/>
    </row>
    <row r="7" spans="1:20" ht="10" customHeight="1" thickTop="1" x14ac:dyDescent="0.35">
      <c r="A7" s="7"/>
      <c r="B7" s="7"/>
      <c r="C7" s="7"/>
      <c r="D7" s="7"/>
      <c r="E7" s="7"/>
      <c r="F7" s="7"/>
      <c r="G7" s="7"/>
      <c r="H7" s="7"/>
      <c r="I7" s="7"/>
      <c r="J7" s="7"/>
      <c r="K7" s="7"/>
      <c r="L7" s="7"/>
      <c r="M7" s="7"/>
      <c r="N7" s="7"/>
      <c r="O7" s="7"/>
      <c r="P7" s="7"/>
      <c r="Q7" s="7"/>
      <c r="R7" s="7"/>
      <c r="S7" s="7"/>
      <c r="T7" s="7"/>
    </row>
    <row r="8" spans="1:20" ht="24" customHeight="1" x14ac:dyDescent="0.35">
      <c r="A8" s="20" t="s">
        <v>88</v>
      </c>
      <c r="B8" s="20"/>
      <c r="C8" s="20"/>
      <c r="D8" s="20"/>
      <c r="E8" s="20"/>
      <c r="F8" s="20"/>
      <c r="G8" s="20"/>
      <c r="H8" s="20"/>
      <c r="I8" s="20"/>
      <c r="J8" s="20"/>
      <c r="K8" s="20"/>
      <c r="L8" s="20"/>
      <c r="M8" s="20"/>
      <c r="N8" s="20"/>
      <c r="O8" s="20"/>
      <c r="P8" s="20"/>
      <c r="Q8" s="20"/>
      <c r="R8" s="20"/>
      <c r="S8" s="20"/>
      <c r="T8" s="20"/>
    </row>
    <row r="9" spans="1:20" ht="22" customHeight="1" x14ac:dyDescent="0.35">
      <c r="A9" s="7"/>
      <c r="B9" s="7"/>
      <c r="C9" s="7"/>
      <c r="D9" s="7"/>
      <c r="E9" s="7"/>
      <c r="F9" s="7"/>
      <c r="G9" s="7"/>
      <c r="H9" s="7"/>
      <c r="I9" s="7"/>
      <c r="J9" s="7"/>
      <c r="K9" s="7"/>
      <c r="L9" s="7"/>
      <c r="M9" s="7"/>
      <c r="N9" s="7"/>
      <c r="O9" s="7"/>
      <c r="P9" s="7"/>
      <c r="Q9" s="7"/>
      <c r="R9" s="7"/>
      <c r="S9" s="7"/>
      <c r="T9" s="7"/>
    </row>
    <row r="10" spans="1:20" ht="22" customHeight="1" x14ac:dyDescent="0.35">
      <c r="A10" s="7"/>
      <c r="B10" s="7"/>
      <c r="C10" s="7"/>
      <c r="D10" s="7"/>
      <c r="E10" s="7"/>
      <c r="F10" s="7"/>
      <c r="G10" s="7"/>
      <c r="H10" s="7"/>
      <c r="I10" s="7"/>
      <c r="J10" s="7"/>
      <c r="K10" s="7"/>
      <c r="L10" s="7"/>
      <c r="M10" s="7"/>
      <c r="N10" s="7"/>
      <c r="O10" s="7"/>
      <c r="P10" s="7"/>
      <c r="Q10" s="7"/>
      <c r="R10" s="7"/>
      <c r="S10" s="7"/>
      <c r="T10" s="7"/>
    </row>
    <row r="11" spans="1:20" ht="22" customHeight="1" x14ac:dyDescent="0.35">
      <c r="A11" s="7"/>
      <c r="B11" s="7"/>
      <c r="C11" s="7"/>
      <c r="D11" s="7"/>
      <c r="E11" s="7"/>
      <c r="F11" s="7"/>
      <c r="G11" s="7"/>
      <c r="H11" s="7"/>
      <c r="I11" s="7"/>
      <c r="J11" s="7"/>
      <c r="K11" s="7"/>
      <c r="L11" s="7"/>
      <c r="M11" s="7"/>
      <c r="N11" s="7"/>
      <c r="O11" s="7"/>
      <c r="P11" s="7"/>
      <c r="Q11" s="7"/>
      <c r="R11" s="7"/>
      <c r="S11" s="7"/>
      <c r="T11" s="7"/>
    </row>
    <row r="12" spans="1:20" ht="22" customHeight="1" x14ac:dyDescent="0.35">
      <c r="A12" s="7"/>
      <c r="B12" s="7"/>
      <c r="C12" s="7"/>
      <c r="D12" s="7"/>
      <c r="E12" s="7"/>
      <c r="F12" s="7"/>
      <c r="G12" s="7"/>
      <c r="H12" s="7"/>
      <c r="I12" s="7"/>
      <c r="J12" s="7"/>
      <c r="K12" s="7"/>
      <c r="L12" s="7"/>
      <c r="M12" s="7"/>
      <c r="N12" s="7"/>
      <c r="O12" s="7"/>
      <c r="P12" s="7"/>
      <c r="Q12" s="7"/>
      <c r="R12" s="7"/>
      <c r="S12" s="7"/>
      <c r="T12" s="7"/>
    </row>
    <row r="13" spans="1:20" ht="22" customHeight="1" x14ac:dyDescent="0.35">
      <c r="A13" s="7"/>
      <c r="B13" s="7"/>
      <c r="C13" s="7"/>
      <c r="D13" s="7"/>
      <c r="E13" s="7"/>
      <c r="F13" s="7"/>
      <c r="G13" s="7"/>
      <c r="H13" s="7"/>
      <c r="I13" s="7"/>
      <c r="J13" s="7"/>
      <c r="K13" s="7"/>
      <c r="L13" s="7"/>
      <c r="M13" s="7"/>
      <c r="N13" s="7"/>
      <c r="O13" s="7"/>
      <c r="P13" s="7"/>
      <c r="Q13" s="7"/>
      <c r="R13" s="7"/>
      <c r="S13" s="7"/>
      <c r="T13" s="7"/>
    </row>
    <row r="14" spans="1:20" ht="22" customHeight="1" x14ac:dyDescent="0.35">
      <c r="A14" s="7"/>
      <c r="B14" s="7"/>
      <c r="C14" s="7"/>
      <c r="D14" s="7"/>
      <c r="E14" s="7"/>
      <c r="F14" s="7"/>
      <c r="G14" s="7"/>
      <c r="H14" s="7"/>
      <c r="I14" s="7"/>
      <c r="J14" s="7"/>
      <c r="K14" s="7"/>
      <c r="L14" s="7"/>
      <c r="M14" s="7"/>
      <c r="N14" s="7"/>
      <c r="O14" s="7"/>
      <c r="P14" s="7"/>
      <c r="Q14" s="7"/>
      <c r="R14" s="7"/>
      <c r="S14" s="7"/>
      <c r="T14" s="7"/>
    </row>
    <row r="15" spans="1:20" ht="22" customHeight="1" x14ac:dyDescent="0.35">
      <c r="A15" s="7"/>
      <c r="B15" s="7"/>
      <c r="C15" s="7"/>
      <c r="D15" s="7"/>
      <c r="E15" s="7"/>
      <c r="F15" s="7"/>
      <c r="G15" s="7"/>
      <c r="H15" s="7"/>
      <c r="I15" s="7"/>
      <c r="J15" s="7"/>
      <c r="K15" s="7"/>
      <c r="L15" s="7"/>
      <c r="M15" s="7"/>
      <c r="N15" s="7"/>
      <c r="O15" s="7"/>
      <c r="P15" s="7"/>
      <c r="Q15" s="7"/>
      <c r="R15" s="7"/>
      <c r="S15" s="7"/>
      <c r="T15" s="7"/>
    </row>
    <row r="16" spans="1:20" ht="8" customHeight="1" x14ac:dyDescent="0.35">
      <c r="A16" s="7"/>
      <c r="B16" s="7"/>
      <c r="C16" s="7"/>
      <c r="D16" s="7"/>
      <c r="E16" s="7"/>
      <c r="F16" s="7"/>
      <c r="G16" s="7"/>
      <c r="H16" s="7"/>
      <c r="I16" s="7"/>
      <c r="J16" s="7"/>
      <c r="K16" s="7"/>
      <c r="L16" s="7"/>
      <c r="M16" s="7"/>
      <c r="N16" s="7"/>
      <c r="O16" s="7"/>
      <c r="P16" s="7"/>
      <c r="Q16" s="7"/>
      <c r="R16" s="7"/>
      <c r="S16" s="7"/>
      <c r="T16" s="7"/>
    </row>
    <row r="17" spans="1:20" ht="20" customHeight="1" x14ac:dyDescent="0.35">
      <c r="A17" s="7"/>
      <c r="B17" s="7"/>
      <c r="C17" s="7"/>
      <c r="D17" s="7"/>
      <c r="E17" s="7"/>
      <c r="F17" s="7"/>
      <c r="G17" s="7"/>
      <c r="H17" s="7"/>
      <c r="I17" s="7"/>
      <c r="J17" s="7"/>
      <c r="K17" s="7"/>
      <c r="L17" s="7"/>
      <c r="M17" s="7"/>
      <c r="N17" s="7"/>
      <c r="O17" s="7"/>
      <c r="P17" s="7"/>
      <c r="Q17" s="7"/>
      <c r="R17" s="7"/>
      <c r="S17" s="7"/>
      <c r="T17" s="7"/>
    </row>
    <row r="18" spans="1:20" ht="20" customHeight="1" x14ac:dyDescent="0.35">
      <c r="A18" s="7"/>
      <c r="B18" s="7"/>
      <c r="C18" s="7"/>
      <c r="D18" s="7"/>
      <c r="E18" s="7"/>
      <c r="F18" s="7"/>
      <c r="G18" s="7"/>
      <c r="H18" s="7"/>
      <c r="I18" s="7"/>
      <c r="J18" s="7"/>
      <c r="K18" s="7"/>
      <c r="L18" s="7"/>
      <c r="M18" s="7"/>
      <c r="N18" s="7"/>
      <c r="O18" s="7"/>
      <c r="P18" s="7"/>
      <c r="Q18" s="7"/>
      <c r="R18" s="7"/>
      <c r="S18" s="7"/>
      <c r="T18" s="7"/>
    </row>
    <row r="19" spans="1:20" ht="20" customHeight="1" x14ac:dyDescent="0.35">
      <c r="A19" s="7"/>
      <c r="B19" s="7"/>
      <c r="C19" s="7"/>
      <c r="D19" s="7"/>
      <c r="E19" s="7"/>
      <c r="F19" s="7"/>
      <c r="G19" s="7"/>
      <c r="H19" s="7"/>
      <c r="I19" s="7"/>
      <c r="J19" s="7"/>
      <c r="K19" s="7"/>
      <c r="L19" s="7"/>
      <c r="M19" s="7"/>
      <c r="N19" s="7"/>
      <c r="O19" s="7"/>
      <c r="P19" s="7"/>
      <c r="Q19" s="7"/>
      <c r="R19" s="7"/>
      <c r="S19" s="7"/>
      <c r="T19" s="7"/>
    </row>
    <row r="20" spans="1:20" ht="20" customHeight="1" x14ac:dyDescent="0.35">
      <c r="A20" s="7"/>
      <c r="B20" s="7"/>
      <c r="C20" s="7"/>
      <c r="D20" s="7"/>
      <c r="E20" s="7"/>
      <c r="F20" s="7"/>
      <c r="G20" s="7"/>
      <c r="H20" s="7"/>
      <c r="I20" s="7"/>
      <c r="J20" s="7"/>
      <c r="K20" s="7"/>
      <c r="L20" s="7"/>
      <c r="M20" s="7"/>
      <c r="N20" s="7"/>
      <c r="O20" s="7"/>
      <c r="P20" s="7"/>
      <c r="Q20" s="7"/>
      <c r="R20" s="7"/>
      <c r="S20" s="7"/>
      <c r="T20" s="7"/>
    </row>
    <row r="21" spans="1:20" ht="20" customHeight="1" x14ac:dyDescent="0.35">
      <c r="A21" s="7"/>
      <c r="B21" s="7"/>
      <c r="C21" s="7"/>
      <c r="D21" s="7"/>
      <c r="E21" s="7"/>
      <c r="F21" s="7"/>
      <c r="G21" s="7"/>
      <c r="H21" s="7"/>
      <c r="I21" s="7"/>
      <c r="J21" s="7"/>
      <c r="K21" s="7"/>
      <c r="L21" s="7"/>
      <c r="M21" s="7"/>
      <c r="N21" s="7"/>
      <c r="O21" s="7"/>
      <c r="P21" s="7"/>
      <c r="Q21" s="7"/>
      <c r="R21" s="7"/>
      <c r="S21" s="7"/>
      <c r="T21" s="7"/>
    </row>
    <row r="22" spans="1:20" ht="20" customHeight="1" x14ac:dyDescent="0.35">
      <c r="A22" s="7"/>
      <c r="B22" s="7"/>
      <c r="C22" s="7"/>
      <c r="D22" s="7"/>
      <c r="E22" s="7"/>
      <c r="F22" s="7"/>
      <c r="G22" s="7"/>
      <c r="H22" s="7"/>
      <c r="I22" s="7"/>
      <c r="J22" s="7"/>
      <c r="K22" s="7"/>
      <c r="L22" s="7"/>
      <c r="M22" s="7"/>
      <c r="N22" s="7"/>
      <c r="O22" s="7"/>
      <c r="P22" s="7"/>
      <c r="Q22" s="7"/>
      <c r="R22" s="7"/>
      <c r="S22" s="7"/>
      <c r="T22" s="7"/>
    </row>
    <row r="23" spans="1:20" ht="20" customHeight="1" x14ac:dyDescent="0.35">
      <c r="A23" s="7"/>
      <c r="B23" s="7"/>
      <c r="C23" s="7"/>
      <c r="D23" s="7"/>
      <c r="E23" s="7"/>
      <c r="F23" s="7"/>
      <c r="G23" s="7"/>
      <c r="H23" s="7"/>
      <c r="I23" s="7"/>
      <c r="J23" s="7"/>
      <c r="K23" s="7"/>
      <c r="L23" s="7"/>
      <c r="M23" s="7"/>
      <c r="N23" s="7"/>
      <c r="O23" s="7"/>
      <c r="P23" s="7"/>
      <c r="Q23" s="7"/>
      <c r="R23" s="7"/>
      <c r="S23" s="7"/>
      <c r="T23" s="7"/>
    </row>
    <row r="24" spans="1:20" ht="20" customHeight="1" x14ac:dyDescent="0.35">
      <c r="A24" s="7"/>
      <c r="B24" s="7"/>
      <c r="C24" s="7"/>
      <c r="D24" s="7"/>
      <c r="E24" s="7"/>
      <c r="F24" s="7"/>
      <c r="G24" s="7"/>
      <c r="H24" s="7"/>
      <c r="I24" s="7"/>
      <c r="J24" s="7"/>
      <c r="K24" s="7"/>
      <c r="L24" s="7"/>
      <c r="M24" s="7"/>
      <c r="N24" s="7"/>
      <c r="O24" s="7"/>
      <c r="P24" s="7"/>
      <c r="Q24" s="7"/>
      <c r="R24" s="7"/>
      <c r="S24" s="7"/>
      <c r="T24" s="7"/>
    </row>
    <row r="25" spans="1:20" ht="20" customHeight="1" x14ac:dyDescent="0.35">
      <c r="A25" s="7"/>
      <c r="B25" s="7"/>
      <c r="C25" s="7"/>
      <c r="D25" s="7"/>
      <c r="E25" s="7"/>
      <c r="F25" s="7"/>
      <c r="G25" s="7"/>
      <c r="H25" s="7"/>
      <c r="I25" s="7"/>
      <c r="J25" s="7"/>
      <c r="K25" s="7"/>
      <c r="L25" s="7"/>
      <c r="M25" s="7"/>
      <c r="N25" s="7"/>
      <c r="O25" s="7"/>
      <c r="P25" s="7"/>
      <c r="Q25" s="7"/>
      <c r="R25" s="7"/>
      <c r="S25" s="7"/>
      <c r="T25" s="7"/>
    </row>
    <row r="26" spans="1:20" ht="20" customHeight="1" x14ac:dyDescent="0.35">
      <c r="A26" s="7"/>
      <c r="B26" s="7"/>
      <c r="C26" s="7"/>
      <c r="D26" s="7"/>
      <c r="E26" s="7"/>
      <c r="F26" s="7"/>
      <c r="G26" s="7"/>
      <c r="H26" s="7"/>
      <c r="I26" s="7"/>
      <c r="J26" s="7"/>
      <c r="K26" s="7"/>
      <c r="L26" s="7"/>
      <c r="M26" s="7"/>
      <c r="N26" s="7"/>
      <c r="O26" s="7"/>
      <c r="P26" s="7"/>
      <c r="Q26" s="7"/>
      <c r="R26" s="7"/>
      <c r="S26" s="7"/>
      <c r="T26" s="7"/>
    </row>
    <row r="27" spans="1:20" ht="20" customHeight="1" x14ac:dyDescent="0.35">
      <c r="A27" s="7"/>
      <c r="B27" s="7"/>
      <c r="C27" s="7"/>
      <c r="D27" s="7"/>
      <c r="E27" s="7"/>
      <c r="F27" s="7"/>
      <c r="G27" s="7"/>
      <c r="H27" s="7"/>
      <c r="I27" s="7"/>
      <c r="J27" s="7"/>
      <c r="K27" s="7"/>
      <c r="L27" s="7"/>
      <c r="M27" s="7"/>
      <c r="N27" s="7"/>
      <c r="O27" s="7"/>
      <c r="P27" s="7"/>
      <c r="Q27" s="7"/>
      <c r="R27" s="7"/>
      <c r="S27" s="7"/>
      <c r="T27" s="7"/>
    </row>
    <row r="28" spans="1:20" ht="20" customHeight="1" x14ac:dyDescent="0.35">
      <c r="A28" s="7"/>
      <c r="B28" s="7"/>
      <c r="C28" s="7"/>
      <c r="D28" s="7"/>
      <c r="E28" s="7"/>
      <c r="F28" s="7"/>
      <c r="G28" s="7"/>
      <c r="H28" s="7"/>
      <c r="I28" s="7"/>
      <c r="J28" s="7"/>
      <c r="K28" s="7"/>
      <c r="L28" s="7"/>
      <c r="M28" s="7"/>
      <c r="N28" s="7"/>
      <c r="O28" s="7"/>
      <c r="P28" s="7"/>
      <c r="Q28" s="7"/>
      <c r="R28" s="7"/>
      <c r="S28" s="7"/>
      <c r="T28" s="7"/>
    </row>
    <row r="29" spans="1:20" ht="20" customHeight="1" x14ac:dyDescent="0.35">
      <c r="A29" s="7"/>
      <c r="B29" s="7"/>
      <c r="C29" s="7"/>
      <c r="D29" s="7"/>
      <c r="E29" s="7"/>
      <c r="F29" s="7"/>
      <c r="G29" s="7"/>
      <c r="H29" s="7"/>
      <c r="I29" s="7"/>
      <c r="J29" s="7"/>
      <c r="K29" s="7"/>
      <c r="L29" s="7"/>
      <c r="M29" s="7"/>
      <c r="N29" s="7"/>
      <c r="O29" s="7"/>
      <c r="P29" s="7"/>
      <c r="Q29" s="7"/>
      <c r="R29" s="7"/>
      <c r="S29" s="7"/>
      <c r="T29" s="7"/>
    </row>
    <row r="30" spans="1:20" ht="20" customHeight="1" x14ac:dyDescent="0.35">
      <c r="A30" s="7"/>
      <c r="B30" s="7"/>
      <c r="C30" s="7"/>
      <c r="D30" s="7"/>
      <c r="E30" s="7"/>
      <c r="F30" s="7"/>
      <c r="G30" s="7"/>
      <c r="H30" s="7"/>
      <c r="I30" s="7"/>
      <c r="J30" s="7"/>
      <c r="K30" s="7"/>
      <c r="L30" s="7"/>
      <c r="M30" s="7"/>
      <c r="N30" s="7"/>
      <c r="O30" s="7"/>
      <c r="P30" s="7"/>
      <c r="Q30" s="7"/>
      <c r="R30" s="7"/>
      <c r="S30" s="7"/>
      <c r="T30" s="7"/>
    </row>
    <row r="31" spans="1:20" ht="20" customHeight="1" x14ac:dyDescent="0.35">
      <c r="A31" s="7"/>
      <c r="B31" s="7"/>
      <c r="C31" s="7"/>
      <c r="D31" s="7"/>
      <c r="E31" s="7"/>
      <c r="F31" s="7"/>
      <c r="G31" s="7"/>
      <c r="H31" s="7"/>
      <c r="I31" s="7"/>
      <c r="J31" s="7"/>
      <c r="K31" s="7"/>
      <c r="L31" s="7"/>
      <c r="M31" s="7"/>
      <c r="N31" s="7"/>
      <c r="O31" s="7"/>
      <c r="P31" s="7"/>
      <c r="Q31" s="7"/>
      <c r="R31" s="7"/>
      <c r="S31" s="7"/>
      <c r="T31" s="7"/>
    </row>
    <row r="32" spans="1:20" ht="20" customHeight="1" x14ac:dyDescent="0.35">
      <c r="A32" s="7"/>
      <c r="B32" s="7"/>
      <c r="C32" s="7"/>
      <c r="D32" s="7"/>
      <c r="E32" s="7"/>
      <c r="F32" s="7"/>
      <c r="G32" s="7"/>
      <c r="H32" s="7"/>
      <c r="I32" s="7"/>
      <c r="J32" s="7"/>
      <c r="K32" s="7"/>
      <c r="L32" s="7"/>
      <c r="M32" s="7"/>
      <c r="N32" s="7"/>
      <c r="O32" s="7"/>
      <c r="P32" s="7"/>
      <c r="Q32" s="7"/>
      <c r="R32" s="7"/>
      <c r="S32" s="7"/>
      <c r="T32" s="7"/>
    </row>
    <row r="33" spans="1:20" ht="20" customHeight="1" x14ac:dyDescent="0.35">
      <c r="A33" s="7"/>
      <c r="B33" s="7"/>
      <c r="C33" s="7"/>
      <c r="D33" s="7"/>
      <c r="E33" s="7"/>
      <c r="F33" s="7"/>
      <c r="G33" s="7"/>
      <c r="H33" s="7"/>
      <c r="I33" s="7"/>
      <c r="J33" s="7"/>
      <c r="K33" s="7"/>
      <c r="L33" s="7"/>
      <c r="M33" s="7"/>
      <c r="N33" s="7"/>
      <c r="O33" s="7"/>
      <c r="P33" s="7"/>
      <c r="Q33" s="7"/>
      <c r="R33" s="7"/>
      <c r="S33" s="7"/>
      <c r="T33" s="7"/>
    </row>
    <row r="34" spans="1:20" ht="20" customHeight="1" x14ac:dyDescent="0.35">
      <c r="A34" s="7"/>
      <c r="B34" s="7"/>
      <c r="C34" s="7"/>
      <c r="D34" s="7"/>
      <c r="E34" s="7"/>
      <c r="F34" s="7"/>
      <c r="G34" s="7"/>
      <c r="H34" s="7"/>
      <c r="I34" s="7"/>
      <c r="J34" s="7"/>
      <c r="K34" s="7"/>
      <c r="L34" s="7"/>
      <c r="M34" s="7"/>
      <c r="N34" s="7"/>
      <c r="O34" s="7"/>
      <c r="P34" s="7"/>
      <c r="Q34" s="7"/>
      <c r="R34" s="7"/>
      <c r="S34" s="7"/>
      <c r="T34" s="7"/>
    </row>
    <row r="35" spans="1:20" ht="20" customHeight="1" x14ac:dyDescent="0.35">
      <c r="A35" s="7"/>
      <c r="B35" s="7"/>
      <c r="C35" s="7"/>
      <c r="D35" s="7"/>
      <c r="E35" s="7"/>
      <c r="F35" s="7"/>
      <c r="G35" s="7"/>
      <c r="H35" s="7"/>
      <c r="I35" s="7"/>
      <c r="J35" s="7"/>
      <c r="K35" s="7"/>
      <c r="L35" s="7"/>
      <c r="M35" s="7"/>
      <c r="N35" s="7"/>
      <c r="O35" s="7"/>
      <c r="P35" s="7"/>
      <c r="Q35" s="7"/>
      <c r="R35" s="7"/>
      <c r="S35" s="7"/>
      <c r="T35" s="7"/>
    </row>
    <row r="36" spans="1:20" ht="20" customHeight="1" x14ac:dyDescent="0.35">
      <c r="A36" s="7"/>
      <c r="B36" s="7"/>
      <c r="C36" s="7"/>
      <c r="D36" s="7"/>
      <c r="E36" s="7"/>
      <c r="F36" s="7"/>
      <c r="G36" s="7"/>
      <c r="H36" s="7"/>
      <c r="I36" s="7"/>
      <c r="J36" s="7"/>
      <c r="K36" s="7"/>
      <c r="L36" s="7"/>
      <c r="M36" s="7"/>
      <c r="N36" s="7"/>
      <c r="O36" s="7"/>
      <c r="P36" s="7"/>
      <c r="Q36" s="7"/>
      <c r="R36" s="7"/>
      <c r="S36" s="7"/>
      <c r="T36" s="7"/>
    </row>
    <row r="37" spans="1:20" ht="20" customHeight="1" x14ac:dyDescent="0.35">
      <c r="A37" s="7"/>
      <c r="B37" s="7"/>
      <c r="C37" s="7"/>
      <c r="D37" s="7"/>
      <c r="E37" s="7"/>
      <c r="F37" s="7"/>
      <c r="G37" s="7"/>
      <c r="H37" s="7"/>
      <c r="I37" s="7"/>
      <c r="J37" s="7"/>
      <c r="K37" s="7"/>
      <c r="L37" s="7"/>
      <c r="M37" s="7"/>
      <c r="N37" s="7"/>
      <c r="O37" s="7"/>
      <c r="P37" s="7"/>
      <c r="Q37" s="7"/>
      <c r="R37" s="7"/>
      <c r="S37" s="7"/>
      <c r="T37" s="7"/>
    </row>
    <row r="38" spans="1:20" ht="20" customHeight="1" x14ac:dyDescent="0.35">
      <c r="A38" s="7"/>
      <c r="B38" s="7"/>
      <c r="C38" s="7"/>
      <c r="D38" s="7"/>
      <c r="E38" s="7"/>
      <c r="F38" s="7"/>
      <c r="G38" s="7"/>
      <c r="H38" s="7"/>
      <c r="I38" s="7"/>
      <c r="J38" s="7"/>
      <c r="K38" s="7"/>
      <c r="L38" s="7"/>
      <c r="M38" s="7"/>
      <c r="N38" s="7"/>
      <c r="O38" s="7"/>
      <c r="P38" s="7"/>
      <c r="Q38" s="7"/>
      <c r="R38" s="7"/>
      <c r="S38" s="7"/>
      <c r="T38" s="7"/>
    </row>
    <row r="39" spans="1:20" ht="20" customHeight="1" x14ac:dyDescent="0.35">
      <c r="A39" s="7"/>
      <c r="B39" s="7"/>
      <c r="C39" s="7"/>
      <c r="D39" s="7"/>
      <c r="E39" s="7"/>
      <c r="F39" s="7"/>
      <c r="G39" s="7"/>
      <c r="H39" s="7"/>
      <c r="I39" s="7"/>
      <c r="J39" s="7"/>
      <c r="K39" s="7"/>
      <c r="L39" s="7"/>
      <c r="M39" s="7"/>
      <c r="N39" s="7"/>
      <c r="O39" s="7"/>
      <c r="P39" s="7"/>
      <c r="Q39" s="7"/>
      <c r="R39" s="7"/>
      <c r="S39" s="7"/>
      <c r="T39" s="7"/>
    </row>
    <row r="40" spans="1:20" ht="20" customHeight="1" x14ac:dyDescent="0.35">
      <c r="A40" s="7"/>
      <c r="B40" s="7"/>
      <c r="C40" s="7"/>
      <c r="D40" s="7"/>
      <c r="E40" s="7"/>
      <c r="F40" s="7"/>
      <c r="G40" s="7"/>
      <c r="H40" s="7"/>
      <c r="I40" s="7"/>
      <c r="J40" s="7"/>
      <c r="K40" s="7"/>
      <c r="L40" s="7"/>
      <c r="M40" s="7"/>
      <c r="N40" s="7"/>
      <c r="O40" s="7"/>
      <c r="P40" s="7"/>
      <c r="Q40" s="7"/>
      <c r="R40" s="7"/>
      <c r="S40" s="7"/>
      <c r="T40" s="7"/>
    </row>
    <row r="41" spans="1:20" ht="20" customHeight="1" x14ac:dyDescent="0.35">
      <c r="A41" s="7"/>
      <c r="B41" s="7"/>
      <c r="C41" s="7"/>
      <c r="D41" s="7"/>
      <c r="E41" s="7"/>
      <c r="F41" s="7"/>
      <c r="G41" s="7"/>
      <c r="H41" s="7"/>
      <c r="I41" s="7"/>
      <c r="J41" s="7"/>
      <c r="K41" s="7"/>
      <c r="L41" s="7"/>
      <c r="M41" s="7"/>
      <c r="N41" s="7"/>
      <c r="O41" s="7"/>
      <c r="P41" s="7"/>
      <c r="Q41" s="7"/>
      <c r="R41" s="7"/>
      <c r="S41" s="7"/>
      <c r="T41" s="7"/>
    </row>
    <row r="42" spans="1:20" ht="20" customHeight="1" x14ac:dyDescent="0.35">
      <c r="A42" s="7"/>
      <c r="B42" s="7"/>
      <c r="C42" s="7"/>
      <c r="D42" s="7"/>
      <c r="E42" s="7"/>
      <c r="F42" s="7"/>
      <c r="G42" s="7"/>
      <c r="H42" s="7"/>
      <c r="I42" s="7"/>
      <c r="J42" s="7"/>
      <c r="K42" s="7"/>
      <c r="L42" s="7"/>
      <c r="M42" s="7"/>
      <c r="N42" s="7"/>
      <c r="O42" s="7"/>
      <c r="P42" s="7"/>
      <c r="Q42" s="7"/>
      <c r="R42" s="7"/>
      <c r="S42" s="7"/>
      <c r="T42" s="7"/>
    </row>
    <row r="43" spans="1:20" ht="20" customHeight="1" x14ac:dyDescent="0.35">
      <c r="A43" s="7"/>
      <c r="B43" s="7"/>
      <c r="C43" s="7"/>
      <c r="D43" s="7"/>
      <c r="E43" s="7"/>
      <c r="F43" s="7"/>
      <c r="G43" s="7"/>
      <c r="H43" s="7"/>
      <c r="I43" s="7"/>
      <c r="J43" s="7"/>
      <c r="K43" s="7"/>
      <c r="L43" s="7"/>
      <c r="M43" s="7"/>
      <c r="N43" s="7"/>
      <c r="O43" s="7"/>
      <c r="P43" s="7"/>
      <c r="Q43" s="7"/>
      <c r="R43" s="7"/>
      <c r="S43" s="7"/>
      <c r="T43" s="7"/>
    </row>
    <row r="44" spans="1:20" ht="20" customHeight="1" x14ac:dyDescent="0.35">
      <c r="A44" s="7"/>
      <c r="B44" s="7"/>
      <c r="C44" s="7"/>
      <c r="D44" s="7"/>
      <c r="E44" s="7"/>
      <c r="F44" s="7"/>
      <c r="G44" s="7"/>
      <c r="H44" s="7"/>
      <c r="I44" s="7"/>
      <c r="J44" s="7"/>
      <c r="K44" s="7"/>
      <c r="L44" s="7"/>
      <c r="M44" s="7"/>
      <c r="N44" s="7"/>
      <c r="O44" s="7"/>
      <c r="P44" s="7"/>
      <c r="Q44" s="7"/>
      <c r="R44" s="7"/>
      <c r="S44" s="7"/>
      <c r="T44" s="7"/>
    </row>
    <row r="45" spans="1:20" ht="20" customHeight="1" x14ac:dyDescent="0.35">
      <c r="A45" s="7"/>
      <c r="B45" s="7"/>
      <c r="C45" s="7"/>
      <c r="D45" s="7"/>
      <c r="E45" s="7"/>
      <c r="F45" s="7"/>
      <c r="G45" s="7"/>
      <c r="H45" s="7"/>
      <c r="I45" s="7"/>
      <c r="J45" s="7"/>
      <c r="K45" s="7"/>
      <c r="L45" s="7"/>
      <c r="M45" s="7"/>
      <c r="N45" s="7"/>
      <c r="O45" s="7"/>
      <c r="P45" s="7"/>
      <c r="Q45" s="7"/>
      <c r="R45" s="7"/>
      <c r="S45" s="7"/>
      <c r="T45" s="7"/>
    </row>
    <row r="46" spans="1:20" ht="20" customHeight="1" x14ac:dyDescent="0.35">
      <c r="A46" s="7"/>
      <c r="B46" s="7"/>
      <c r="C46" s="7"/>
      <c r="D46" s="7"/>
      <c r="E46" s="7"/>
      <c r="F46" s="7"/>
      <c r="G46" s="7"/>
      <c r="H46" s="7"/>
      <c r="I46" s="7"/>
      <c r="J46" s="7"/>
      <c r="K46" s="7"/>
      <c r="L46" s="7"/>
      <c r="M46" s="7"/>
      <c r="N46" s="7"/>
      <c r="O46" s="7"/>
      <c r="P46" s="7"/>
      <c r="Q46" s="7"/>
      <c r="R46" s="7"/>
      <c r="S46" s="7"/>
      <c r="T46" s="7"/>
    </row>
    <row r="47" spans="1:20" ht="20" customHeight="1" x14ac:dyDescent="0.35">
      <c r="A47" s="7"/>
      <c r="B47" s="7"/>
      <c r="C47" s="7"/>
      <c r="D47" s="7"/>
      <c r="E47" s="7"/>
      <c r="F47" s="7"/>
      <c r="G47" s="7"/>
      <c r="H47" s="7"/>
      <c r="I47" s="7"/>
      <c r="J47" s="7"/>
      <c r="K47" s="7"/>
      <c r="L47" s="7"/>
      <c r="M47" s="7"/>
      <c r="N47" s="7"/>
      <c r="O47" s="7"/>
      <c r="P47" s="7"/>
      <c r="Q47" s="7"/>
      <c r="R47" s="7"/>
      <c r="S47" s="7"/>
      <c r="T47" s="7"/>
    </row>
    <row r="48" spans="1:20" ht="20" customHeight="1" x14ac:dyDescent="0.35">
      <c r="A48" s="7"/>
      <c r="B48" s="7"/>
      <c r="C48" s="7"/>
      <c r="D48" s="7"/>
      <c r="E48" s="7"/>
      <c r="F48" s="7"/>
      <c r="G48" s="7"/>
      <c r="H48" s="7"/>
      <c r="I48" s="7"/>
      <c r="J48" s="7"/>
      <c r="K48" s="7"/>
      <c r="L48" s="7"/>
      <c r="M48" s="7"/>
      <c r="N48" s="7"/>
      <c r="O48" s="7"/>
      <c r="P48" s="7"/>
      <c r="Q48" s="7"/>
      <c r="R48" s="7"/>
      <c r="S48" s="7"/>
      <c r="T48" s="7"/>
    </row>
    <row r="49" spans="1:20" ht="20" customHeight="1" x14ac:dyDescent="0.35">
      <c r="A49" s="7"/>
      <c r="B49" s="7"/>
      <c r="C49" s="7"/>
      <c r="D49" s="7"/>
      <c r="E49" s="7"/>
      <c r="F49" s="7"/>
      <c r="G49" s="7"/>
      <c r="H49" s="7"/>
      <c r="I49" s="7"/>
      <c r="J49" s="7"/>
      <c r="K49" s="7"/>
      <c r="L49" s="7"/>
      <c r="M49" s="7"/>
      <c r="N49" s="7"/>
      <c r="O49" s="7"/>
      <c r="P49" s="7"/>
      <c r="Q49" s="7"/>
      <c r="R49" s="7"/>
      <c r="S49" s="7"/>
      <c r="T49" s="7"/>
    </row>
    <row r="50" spans="1:20" ht="20" customHeight="1" x14ac:dyDescent="0.35">
      <c r="A50" s="7"/>
      <c r="B50" s="7"/>
      <c r="C50" s="7"/>
      <c r="D50" s="7"/>
      <c r="E50" s="7"/>
      <c r="F50" s="7"/>
      <c r="G50" s="7"/>
      <c r="H50" s="7"/>
      <c r="I50" s="7"/>
      <c r="J50" s="7"/>
      <c r="K50" s="7"/>
      <c r="L50" s="7"/>
      <c r="M50" s="7"/>
      <c r="N50" s="7"/>
      <c r="O50" s="7"/>
      <c r="P50" s="7"/>
      <c r="Q50" s="7"/>
      <c r="R50" s="7"/>
      <c r="S50" s="7"/>
      <c r="T50" s="7"/>
    </row>
    <row r="51" spans="1:20" ht="20" customHeight="1" x14ac:dyDescent="0.35">
      <c r="A51" s="7"/>
      <c r="B51" s="7"/>
      <c r="C51" s="7"/>
      <c r="D51" s="7"/>
      <c r="E51" s="7"/>
      <c r="F51" s="7"/>
      <c r="G51" s="7"/>
      <c r="H51" s="7"/>
      <c r="I51" s="7"/>
      <c r="J51" s="7"/>
      <c r="K51" s="7"/>
      <c r="L51" s="7"/>
      <c r="M51" s="7"/>
      <c r="N51" s="7"/>
      <c r="O51" s="7"/>
      <c r="P51" s="7"/>
      <c r="Q51" s="7"/>
      <c r="R51" s="7"/>
      <c r="S51" s="7"/>
      <c r="T51" s="7"/>
    </row>
    <row r="52" spans="1:20" ht="20" customHeight="1" x14ac:dyDescent="0.35">
      <c r="A52" s="7"/>
      <c r="B52" s="7"/>
      <c r="C52" s="7"/>
      <c r="D52" s="7"/>
      <c r="E52" s="7"/>
      <c r="F52" s="7"/>
      <c r="G52" s="7"/>
      <c r="H52" s="7"/>
      <c r="I52" s="7"/>
      <c r="J52" s="7"/>
      <c r="K52" s="7"/>
      <c r="L52" s="7"/>
      <c r="M52" s="7"/>
      <c r="N52" s="7"/>
      <c r="O52" s="7"/>
      <c r="P52" s="7"/>
      <c r="Q52" s="7"/>
      <c r="R52" s="7"/>
      <c r="S52" s="7"/>
      <c r="T52" s="7"/>
    </row>
    <row r="53" spans="1:20" ht="20" customHeight="1" x14ac:dyDescent="0.35">
      <c r="A53" s="7"/>
      <c r="B53" s="7"/>
      <c r="C53" s="7"/>
      <c r="D53" s="7"/>
      <c r="E53" s="7"/>
      <c r="F53" s="7"/>
      <c r="G53" s="7"/>
      <c r="H53" s="7"/>
      <c r="I53" s="7"/>
      <c r="J53" s="7"/>
      <c r="K53" s="7"/>
      <c r="L53" s="7"/>
      <c r="M53" s="7"/>
      <c r="N53" s="7"/>
      <c r="O53" s="7"/>
      <c r="P53" s="7"/>
      <c r="Q53" s="7"/>
      <c r="R53" s="7"/>
      <c r="S53" s="7"/>
      <c r="T53" s="7"/>
    </row>
    <row r="54" spans="1:20" ht="20" customHeight="1" x14ac:dyDescent="0.35">
      <c r="A54" s="7"/>
      <c r="B54" s="7"/>
      <c r="C54" s="7"/>
      <c r="D54" s="7"/>
      <c r="E54" s="7"/>
      <c r="F54" s="7"/>
      <c r="G54" s="7"/>
      <c r="H54" s="7"/>
      <c r="I54" s="7"/>
      <c r="J54" s="7"/>
      <c r="K54" s="7"/>
      <c r="L54" s="7"/>
      <c r="M54" s="7"/>
      <c r="N54" s="7"/>
      <c r="O54" s="7"/>
      <c r="P54" s="7"/>
      <c r="Q54" s="7"/>
      <c r="R54" s="7"/>
      <c r="S54" s="7"/>
      <c r="T54" s="7"/>
    </row>
    <row r="55" spans="1:20" ht="20" customHeight="1" x14ac:dyDescent="0.35">
      <c r="A55" s="7"/>
      <c r="B55" s="7"/>
      <c r="C55" s="7"/>
      <c r="D55" s="7"/>
      <c r="E55" s="7"/>
      <c r="F55" s="7"/>
      <c r="G55" s="7"/>
      <c r="H55" s="7"/>
      <c r="I55" s="7"/>
      <c r="J55" s="7"/>
      <c r="K55" s="7"/>
      <c r="L55" s="7"/>
      <c r="M55" s="7"/>
      <c r="N55" s="7"/>
      <c r="O55" s="7"/>
      <c r="P55" s="7"/>
      <c r="Q55" s="7"/>
      <c r="R55" s="7"/>
      <c r="S55" s="7"/>
      <c r="T55" s="7"/>
    </row>
    <row r="56" spans="1:20" ht="20" customHeight="1" x14ac:dyDescent="0.35">
      <c r="A56" s="7"/>
      <c r="B56" s="7"/>
      <c r="C56" s="7"/>
      <c r="D56" s="7"/>
      <c r="E56" s="7"/>
      <c r="F56" s="7"/>
      <c r="G56" s="7"/>
      <c r="H56" s="7"/>
      <c r="I56" s="7"/>
      <c r="J56" s="7"/>
      <c r="K56" s="7"/>
      <c r="L56" s="7"/>
      <c r="M56" s="7"/>
      <c r="N56" s="7"/>
      <c r="O56" s="7"/>
      <c r="P56" s="7"/>
      <c r="Q56" s="7"/>
      <c r="R56" s="7"/>
      <c r="S56" s="7"/>
      <c r="T56" s="7"/>
    </row>
    <row r="57" spans="1:20" ht="20" customHeight="1" x14ac:dyDescent="0.35">
      <c r="A57" s="7"/>
      <c r="B57" s="7"/>
      <c r="C57" s="7"/>
      <c r="D57" s="7"/>
      <c r="E57" s="7"/>
      <c r="F57" s="7"/>
      <c r="G57" s="7"/>
      <c r="H57" s="7"/>
      <c r="I57" s="7"/>
      <c r="J57" s="7"/>
      <c r="K57" s="7"/>
      <c r="L57" s="7"/>
      <c r="M57" s="7"/>
      <c r="N57" s="7"/>
      <c r="O57" s="7"/>
      <c r="P57" s="7"/>
      <c r="Q57" s="7"/>
      <c r="R57" s="7"/>
      <c r="S57" s="7"/>
      <c r="T57" s="7"/>
    </row>
    <row r="58" spans="1:20" ht="20" customHeight="1" x14ac:dyDescent="0.35">
      <c r="A58" s="7"/>
      <c r="B58" s="7"/>
      <c r="C58" s="7"/>
      <c r="D58" s="7"/>
      <c r="E58" s="7"/>
      <c r="F58" s="7"/>
      <c r="G58" s="7"/>
      <c r="H58" s="7"/>
      <c r="I58" s="7"/>
      <c r="J58" s="7"/>
      <c r="K58" s="7"/>
      <c r="L58" s="7"/>
      <c r="M58" s="7"/>
      <c r="N58" s="7"/>
      <c r="O58" s="7"/>
      <c r="P58" s="7"/>
      <c r="Q58" s="7"/>
      <c r="R58" s="7"/>
      <c r="S58" s="7"/>
      <c r="T58" s="7"/>
    </row>
    <row r="59" spans="1:20" ht="20" customHeight="1" x14ac:dyDescent="0.35">
      <c r="A59" s="7"/>
      <c r="B59" s="7"/>
      <c r="C59" s="7"/>
      <c r="D59" s="7"/>
      <c r="E59" s="7"/>
      <c r="F59" s="7"/>
      <c r="G59" s="7"/>
      <c r="H59" s="7"/>
      <c r="I59" s="7"/>
      <c r="J59" s="7"/>
      <c r="K59" s="7"/>
      <c r="L59" s="7"/>
      <c r="M59" s="7"/>
      <c r="N59" s="7"/>
      <c r="O59" s="7"/>
      <c r="P59" s="7"/>
      <c r="Q59" s="7"/>
      <c r="R59" s="7"/>
      <c r="S59" s="7"/>
      <c r="T59" s="7"/>
    </row>
    <row r="60" spans="1:20" ht="20" customHeight="1" x14ac:dyDescent="0.35">
      <c r="A60" s="7"/>
      <c r="B60" s="7"/>
      <c r="C60" s="7"/>
      <c r="D60" s="7"/>
      <c r="E60" s="7"/>
      <c r="F60" s="7"/>
      <c r="G60" s="7"/>
      <c r="H60" s="7"/>
      <c r="I60" s="7"/>
      <c r="J60" s="7"/>
      <c r="K60" s="7"/>
      <c r="L60" s="7"/>
      <c r="M60" s="7"/>
      <c r="N60" s="7"/>
      <c r="O60" s="7"/>
      <c r="P60" s="7"/>
      <c r="Q60" s="7"/>
      <c r="R60" s="7"/>
      <c r="S60" s="7"/>
      <c r="T60" s="7"/>
    </row>
    <row r="61" spans="1:20" ht="20" customHeight="1" x14ac:dyDescent="0.35">
      <c r="A61" s="7"/>
      <c r="B61" s="7"/>
      <c r="C61" s="7"/>
      <c r="D61" s="7"/>
      <c r="E61" s="7"/>
      <c r="F61" s="7"/>
      <c r="G61" s="7"/>
      <c r="H61" s="7"/>
      <c r="I61" s="7"/>
      <c r="J61" s="7"/>
      <c r="K61" s="7"/>
      <c r="L61" s="7"/>
      <c r="M61" s="7"/>
      <c r="N61" s="7"/>
      <c r="O61" s="7"/>
      <c r="P61" s="7"/>
      <c r="Q61" s="7"/>
      <c r="R61" s="7"/>
      <c r="S61" s="7"/>
      <c r="T61" s="7"/>
    </row>
    <row r="62" spans="1:20" ht="20" customHeight="1" x14ac:dyDescent="0.35">
      <c r="A62" s="7"/>
      <c r="B62" s="7"/>
      <c r="C62" s="7"/>
      <c r="D62" s="7"/>
      <c r="E62" s="7"/>
      <c r="F62" s="7"/>
      <c r="G62" s="7"/>
      <c r="H62" s="7"/>
      <c r="I62" s="7"/>
      <c r="J62" s="7"/>
      <c r="K62" s="7"/>
      <c r="L62" s="7"/>
      <c r="M62" s="7"/>
      <c r="N62" s="7"/>
      <c r="O62" s="7"/>
      <c r="P62" s="7"/>
      <c r="Q62" s="7"/>
      <c r="R62" s="7"/>
      <c r="S62" s="7"/>
      <c r="T62" s="7"/>
    </row>
    <row r="63" spans="1:20" ht="20" customHeight="1" x14ac:dyDescent="0.35">
      <c r="A63" s="7"/>
      <c r="B63" s="7"/>
      <c r="C63" s="7"/>
      <c r="D63" s="7"/>
      <c r="E63" s="7"/>
      <c r="F63" s="7"/>
      <c r="G63" s="7"/>
      <c r="H63" s="7"/>
      <c r="I63" s="7"/>
      <c r="J63" s="7"/>
      <c r="K63" s="7"/>
      <c r="L63" s="7"/>
      <c r="M63" s="7"/>
      <c r="N63" s="7"/>
      <c r="O63" s="7"/>
      <c r="P63" s="7"/>
      <c r="Q63" s="7"/>
      <c r="R63" s="7"/>
      <c r="S63" s="7"/>
      <c r="T63" s="7"/>
    </row>
    <row r="64" spans="1:20" ht="20" customHeight="1" x14ac:dyDescent="0.35">
      <c r="A64" s="7"/>
      <c r="B64" s="7"/>
      <c r="C64" s="7"/>
      <c r="D64" s="7"/>
      <c r="E64" s="7"/>
      <c r="F64" s="7"/>
      <c r="G64" s="7"/>
      <c r="H64" s="7"/>
      <c r="I64" s="7"/>
      <c r="J64" s="7"/>
      <c r="K64" s="7"/>
      <c r="L64" s="7"/>
      <c r="M64" s="7"/>
      <c r="N64" s="7"/>
      <c r="O64" s="7"/>
      <c r="P64" s="7"/>
      <c r="Q64" s="7"/>
      <c r="R64" s="7"/>
      <c r="S64" s="7"/>
      <c r="T64" s="7"/>
    </row>
    <row r="65" spans="1:20" ht="20" customHeight="1" x14ac:dyDescent="0.35">
      <c r="A65" s="7"/>
      <c r="B65" s="7"/>
      <c r="C65" s="7"/>
      <c r="D65" s="7"/>
      <c r="E65" s="7"/>
      <c r="F65" s="7"/>
      <c r="G65" s="7"/>
      <c r="H65" s="7"/>
      <c r="I65" s="7"/>
      <c r="J65" s="7"/>
      <c r="K65" s="7"/>
      <c r="L65" s="7"/>
      <c r="M65" s="7"/>
      <c r="N65" s="7"/>
      <c r="O65" s="7"/>
      <c r="P65" s="7"/>
      <c r="Q65" s="7"/>
      <c r="R65" s="7"/>
      <c r="S65" s="7"/>
      <c r="T65" s="7"/>
    </row>
    <row r="66" spans="1:20" ht="20" customHeight="1" x14ac:dyDescent="0.35">
      <c r="A66" s="7"/>
      <c r="B66" s="7"/>
      <c r="C66" s="7"/>
      <c r="D66" s="7"/>
      <c r="E66" s="7"/>
      <c r="F66" s="7"/>
      <c r="G66" s="7"/>
      <c r="H66" s="7"/>
      <c r="I66" s="7"/>
      <c r="J66" s="7"/>
      <c r="K66" s="7"/>
      <c r="L66" s="7"/>
      <c r="M66" s="7"/>
      <c r="N66" s="7"/>
      <c r="O66" s="7"/>
      <c r="P66" s="7"/>
      <c r="Q66" s="7"/>
      <c r="R66" s="7"/>
      <c r="S66" s="7"/>
      <c r="T66" s="7"/>
    </row>
    <row r="67" spans="1:20" ht="20" customHeight="1" x14ac:dyDescent="0.35">
      <c r="A67" s="7"/>
      <c r="B67" s="7"/>
      <c r="C67" s="7"/>
      <c r="D67" s="7"/>
      <c r="E67" s="7"/>
      <c r="F67" s="7"/>
      <c r="G67" s="7"/>
      <c r="H67" s="7"/>
      <c r="I67" s="7"/>
      <c r="J67" s="7"/>
      <c r="K67" s="7"/>
      <c r="L67" s="7"/>
      <c r="M67" s="7"/>
      <c r="N67" s="7"/>
      <c r="O67" s="7"/>
      <c r="P67" s="7"/>
      <c r="Q67" s="7"/>
      <c r="R67" s="7"/>
      <c r="S67" s="7"/>
      <c r="T67" s="7"/>
    </row>
    <row r="68" spans="1:20" ht="20" customHeight="1" x14ac:dyDescent="0.35">
      <c r="A68" s="7"/>
      <c r="B68" s="7"/>
      <c r="C68" s="7"/>
      <c r="D68" s="7"/>
      <c r="E68" s="7"/>
      <c r="F68" s="7"/>
      <c r="G68" s="7"/>
      <c r="H68" s="7"/>
      <c r="I68" s="7"/>
      <c r="J68" s="7"/>
      <c r="K68" s="7"/>
      <c r="L68" s="7"/>
      <c r="M68" s="7"/>
      <c r="N68" s="7"/>
      <c r="O68" s="7"/>
      <c r="P68" s="7"/>
      <c r="Q68" s="7"/>
      <c r="R68" s="7"/>
      <c r="S68" s="7"/>
      <c r="T68" s="7"/>
    </row>
    <row r="69" spans="1:20" ht="20" customHeight="1" x14ac:dyDescent="0.35">
      <c r="A69" s="7"/>
      <c r="B69" s="7"/>
      <c r="C69" s="7"/>
      <c r="D69" s="7"/>
      <c r="E69" s="7"/>
      <c r="F69" s="7"/>
      <c r="G69" s="7"/>
      <c r="H69" s="7"/>
      <c r="I69" s="7"/>
      <c r="J69" s="7"/>
      <c r="K69" s="7"/>
      <c r="L69" s="7"/>
      <c r="M69" s="7"/>
      <c r="N69" s="7"/>
      <c r="O69" s="7"/>
      <c r="P69" s="7"/>
      <c r="Q69" s="7"/>
      <c r="R69" s="7"/>
      <c r="S69" s="7"/>
      <c r="T69" s="7"/>
    </row>
    <row r="70" spans="1:20" ht="20" customHeight="1" x14ac:dyDescent="0.35">
      <c r="A70" s="7"/>
      <c r="B70" s="7"/>
      <c r="C70" s="7"/>
      <c r="D70" s="7"/>
      <c r="E70" s="7"/>
      <c r="F70" s="7"/>
      <c r="G70" s="7"/>
      <c r="H70" s="7"/>
      <c r="I70" s="7"/>
      <c r="J70" s="7"/>
      <c r="K70" s="7"/>
      <c r="L70" s="7"/>
      <c r="M70" s="7"/>
      <c r="N70" s="7"/>
      <c r="O70" s="7"/>
      <c r="P70" s="7"/>
      <c r="Q70" s="7"/>
      <c r="R70" s="7"/>
      <c r="S70" s="7"/>
      <c r="T70" s="7"/>
    </row>
    <row r="71" spans="1:20" ht="20" customHeight="1" x14ac:dyDescent="0.35">
      <c r="A71" s="7"/>
      <c r="B71" s="7"/>
      <c r="C71" s="7"/>
      <c r="D71" s="7"/>
      <c r="E71" s="7"/>
      <c r="F71" s="7"/>
      <c r="G71" s="7"/>
      <c r="H71" s="7"/>
      <c r="I71" s="7"/>
      <c r="J71" s="7"/>
      <c r="K71" s="7"/>
      <c r="L71" s="7"/>
      <c r="M71" s="7"/>
      <c r="N71" s="7"/>
      <c r="O71" s="7"/>
      <c r="P71" s="7"/>
      <c r="Q71" s="7"/>
      <c r="R71" s="7"/>
      <c r="S71" s="7"/>
      <c r="T71" s="7"/>
    </row>
    <row r="72" spans="1:20" ht="20" customHeight="1" x14ac:dyDescent="0.35">
      <c r="A72" s="7"/>
      <c r="B72" s="7"/>
      <c r="C72" s="7"/>
      <c r="D72" s="7"/>
      <c r="E72" s="7"/>
      <c r="F72" s="7"/>
      <c r="G72" s="7"/>
      <c r="H72" s="7"/>
      <c r="I72" s="7"/>
      <c r="J72" s="7"/>
      <c r="K72" s="7"/>
      <c r="L72" s="7"/>
      <c r="M72" s="7"/>
      <c r="N72" s="7"/>
      <c r="O72" s="7"/>
      <c r="P72" s="7"/>
      <c r="Q72" s="7"/>
      <c r="R72" s="7"/>
      <c r="S72" s="7"/>
      <c r="T72" s="7"/>
    </row>
    <row r="73" spans="1:20" ht="20" customHeight="1" x14ac:dyDescent="0.35">
      <c r="A73" s="7"/>
      <c r="B73" s="7"/>
      <c r="C73" s="7"/>
      <c r="D73" s="7"/>
      <c r="E73" s="7"/>
      <c r="F73" s="7"/>
      <c r="G73" s="7"/>
      <c r="H73" s="7"/>
      <c r="I73" s="7"/>
      <c r="J73" s="7"/>
      <c r="K73" s="7"/>
      <c r="L73" s="7"/>
      <c r="M73" s="7"/>
      <c r="N73" s="7"/>
      <c r="O73" s="7"/>
      <c r="P73" s="7"/>
      <c r="Q73" s="7"/>
      <c r="R73" s="7"/>
      <c r="S73" s="7"/>
      <c r="T73" s="7"/>
    </row>
    <row r="74" spans="1:20" ht="20" customHeight="1" x14ac:dyDescent="0.35">
      <c r="A74" s="7"/>
      <c r="B74" s="7"/>
      <c r="C74" s="7"/>
      <c r="D74" s="7"/>
      <c r="E74" s="7"/>
      <c r="F74" s="7"/>
      <c r="G74" s="7"/>
      <c r="H74" s="7"/>
      <c r="I74" s="7"/>
      <c r="J74" s="7"/>
      <c r="K74" s="7"/>
      <c r="L74" s="7"/>
      <c r="M74" s="7"/>
      <c r="N74" s="7"/>
      <c r="O74" s="7"/>
      <c r="P74" s="7"/>
      <c r="Q74" s="7"/>
      <c r="R74" s="7"/>
      <c r="S74" s="7"/>
      <c r="T74" s="7"/>
    </row>
    <row r="75" spans="1:20" ht="20" customHeight="1" x14ac:dyDescent="0.35">
      <c r="A75" s="7"/>
      <c r="B75" s="7"/>
      <c r="C75" s="7"/>
      <c r="D75" s="7"/>
      <c r="E75" s="7"/>
      <c r="F75" s="7"/>
      <c r="G75" s="7"/>
      <c r="H75" s="7"/>
      <c r="I75" s="7"/>
      <c r="J75" s="7"/>
      <c r="K75" s="7"/>
      <c r="L75" s="7"/>
      <c r="M75" s="7"/>
      <c r="N75" s="7"/>
      <c r="O75" s="7"/>
      <c r="P75" s="7"/>
      <c r="Q75" s="7"/>
      <c r="R75" s="7"/>
      <c r="S75" s="7"/>
      <c r="T75" s="7"/>
    </row>
    <row r="76" spans="1:20" ht="20" customHeight="1" x14ac:dyDescent="0.35">
      <c r="A76" s="7"/>
      <c r="B76" s="7"/>
      <c r="C76" s="7"/>
      <c r="D76" s="7"/>
      <c r="E76" s="7"/>
      <c r="F76" s="7"/>
      <c r="G76" s="7"/>
      <c r="H76" s="7"/>
      <c r="I76" s="7"/>
      <c r="J76" s="7"/>
      <c r="K76" s="7"/>
      <c r="L76" s="7"/>
      <c r="M76" s="7"/>
      <c r="N76" s="7"/>
      <c r="O76" s="7"/>
      <c r="P76" s="7"/>
      <c r="Q76" s="7"/>
      <c r="R76" s="7"/>
      <c r="S76" s="7"/>
      <c r="T76" s="7"/>
    </row>
    <row r="77" spans="1:20" ht="20" customHeight="1" x14ac:dyDescent="0.35">
      <c r="A77" s="7"/>
      <c r="B77" s="7"/>
      <c r="C77" s="7"/>
      <c r="D77" s="7"/>
      <c r="E77" s="7"/>
      <c r="F77" s="7"/>
      <c r="G77" s="7"/>
      <c r="H77" s="7"/>
      <c r="I77" s="7"/>
      <c r="J77" s="7"/>
      <c r="K77" s="7"/>
      <c r="L77" s="7"/>
      <c r="M77" s="7"/>
      <c r="N77" s="7"/>
      <c r="O77" s="7"/>
      <c r="P77" s="7"/>
      <c r="Q77" s="7"/>
      <c r="R77" s="7"/>
      <c r="S77" s="7"/>
      <c r="T77" s="7"/>
    </row>
    <row r="78" spans="1:20" ht="20" customHeight="1" x14ac:dyDescent="0.35">
      <c r="A78" s="7"/>
      <c r="B78" s="7"/>
      <c r="C78" s="7"/>
      <c r="D78" s="7"/>
      <c r="E78" s="7"/>
      <c r="F78" s="7"/>
      <c r="G78" s="7"/>
      <c r="H78" s="7"/>
      <c r="I78" s="7"/>
      <c r="J78" s="7"/>
      <c r="K78" s="7"/>
      <c r="L78" s="7"/>
      <c r="M78" s="7"/>
      <c r="N78" s="7"/>
      <c r="O78" s="7"/>
      <c r="P78" s="7"/>
      <c r="Q78" s="7"/>
      <c r="R78" s="7"/>
      <c r="S78" s="7"/>
      <c r="T78" s="7"/>
    </row>
    <row r="79" spans="1:20" ht="20" customHeight="1" x14ac:dyDescent="0.35">
      <c r="A79" s="7"/>
      <c r="B79" s="7"/>
      <c r="C79" s="7"/>
      <c r="D79" s="7"/>
      <c r="E79" s="7"/>
      <c r="F79" s="7"/>
      <c r="G79" s="7"/>
      <c r="H79" s="7"/>
      <c r="I79" s="7"/>
      <c r="J79" s="7"/>
      <c r="K79" s="7"/>
      <c r="L79" s="7"/>
      <c r="M79" s="7"/>
      <c r="N79" s="7"/>
      <c r="O79" s="7"/>
      <c r="P79" s="7"/>
      <c r="Q79" s="7"/>
      <c r="R79" s="7"/>
      <c r="S79" s="7"/>
      <c r="T79" s="7"/>
    </row>
    <row r="80" spans="1:20" ht="20" customHeight="1" x14ac:dyDescent="0.35">
      <c r="A80" s="7"/>
      <c r="B80" s="7"/>
      <c r="C80" s="7"/>
      <c r="D80" s="7"/>
      <c r="E80" s="7"/>
      <c r="F80" s="7"/>
      <c r="G80" s="7"/>
      <c r="H80" s="7"/>
      <c r="I80" s="7"/>
      <c r="J80" s="7"/>
      <c r="K80" s="7"/>
      <c r="L80" s="7"/>
      <c r="M80" s="7"/>
      <c r="N80" s="7"/>
      <c r="O80" s="7"/>
      <c r="P80" s="7"/>
      <c r="Q80" s="7"/>
      <c r="R80" s="7"/>
      <c r="S80" s="7"/>
      <c r="T80" s="7"/>
    </row>
    <row r="81" spans="1:20" ht="20" customHeight="1" x14ac:dyDescent="0.35">
      <c r="A81" s="7"/>
      <c r="B81" s="7"/>
      <c r="C81" s="7"/>
      <c r="D81" s="7"/>
      <c r="E81" s="7"/>
      <c r="F81" s="7"/>
      <c r="G81" s="7"/>
      <c r="H81" s="7"/>
      <c r="I81" s="7"/>
      <c r="J81" s="7"/>
      <c r="K81" s="7"/>
      <c r="L81" s="7"/>
      <c r="M81" s="7"/>
      <c r="N81" s="7"/>
      <c r="O81" s="7"/>
      <c r="P81" s="7"/>
      <c r="Q81" s="7"/>
      <c r="R81" s="7"/>
      <c r="S81" s="7"/>
      <c r="T81" s="7"/>
    </row>
    <row r="82" spans="1:20" ht="20" customHeight="1" x14ac:dyDescent="0.35">
      <c r="A82" s="7"/>
      <c r="B82" s="7"/>
      <c r="C82" s="7"/>
      <c r="D82" s="7"/>
      <c r="E82" s="7"/>
      <c r="F82" s="7"/>
      <c r="G82" s="7"/>
      <c r="H82" s="7"/>
      <c r="I82" s="7"/>
      <c r="J82" s="7"/>
      <c r="K82" s="7"/>
      <c r="L82" s="7"/>
      <c r="M82" s="7"/>
      <c r="N82" s="7"/>
      <c r="O82" s="7"/>
      <c r="P82" s="7"/>
      <c r="Q82" s="7"/>
      <c r="R82" s="7"/>
      <c r="S82" s="7"/>
      <c r="T82" s="7"/>
    </row>
    <row r="83" spans="1:20" ht="20" customHeight="1" x14ac:dyDescent="0.35">
      <c r="A83" s="7"/>
      <c r="B83" s="7"/>
      <c r="C83" s="7"/>
      <c r="D83" s="7"/>
      <c r="E83" s="7"/>
      <c r="F83" s="7"/>
      <c r="G83" s="7"/>
      <c r="H83" s="7"/>
      <c r="I83" s="7"/>
      <c r="J83" s="7"/>
      <c r="K83" s="7"/>
      <c r="L83" s="7"/>
      <c r="M83" s="7"/>
      <c r="N83" s="7"/>
      <c r="O83" s="7"/>
      <c r="P83" s="7"/>
      <c r="Q83" s="7"/>
      <c r="R83" s="7"/>
      <c r="S83" s="7"/>
      <c r="T83" s="7"/>
    </row>
    <row r="84" spans="1:20" ht="20" customHeight="1" x14ac:dyDescent="0.35">
      <c r="A84" s="7"/>
      <c r="B84" s="7"/>
      <c r="C84" s="7"/>
      <c r="D84" s="7"/>
      <c r="E84" s="7"/>
      <c r="F84" s="7"/>
      <c r="G84" s="7"/>
      <c r="H84" s="7"/>
      <c r="I84" s="7"/>
      <c r="J84" s="7"/>
      <c r="K84" s="7"/>
      <c r="L84" s="7"/>
      <c r="M84" s="7"/>
      <c r="N84" s="7"/>
      <c r="O84" s="7"/>
      <c r="P84" s="7"/>
      <c r="Q84" s="7"/>
      <c r="R84" s="7"/>
      <c r="S84" s="7"/>
      <c r="T84" s="7"/>
    </row>
    <row r="85" spans="1:20" ht="20" customHeight="1" x14ac:dyDescent="0.35">
      <c r="A85" s="7"/>
      <c r="B85" s="7"/>
      <c r="C85" s="7"/>
      <c r="D85" s="7"/>
      <c r="E85" s="7"/>
      <c r="F85" s="7"/>
      <c r="G85" s="7"/>
      <c r="H85" s="7"/>
      <c r="I85" s="7"/>
      <c r="J85" s="7"/>
      <c r="K85" s="7"/>
      <c r="L85" s="7"/>
      <c r="M85" s="7"/>
      <c r="N85" s="7"/>
      <c r="O85" s="7"/>
      <c r="P85" s="7"/>
      <c r="Q85" s="7"/>
      <c r="R85" s="7"/>
      <c r="S85" s="7"/>
      <c r="T85" s="7"/>
    </row>
    <row r="86" spans="1:20" ht="20" customHeight="1" x14ac:dyDescent="0.35">
      <c r="A86" s="7"/>
      <c r="B86" s="7"/>
      <c r="C86" s="7"/>
      <c r="D86" s="7"/>
      <c r="E86" s="7"/>
      <c r="F86" s="7"/>
      <c r="G86" s="7"/>
      <c r="H86" s="7"/>
      <c r="I86" s="7"/>
      <c r="J86" s="7"/>
      <c r="K86" s="7"/>
      <c r="L86" s="7"/>
      <c r="M86" s="7"/>
      <c r="N86" s="7"/>
      <c r="O86" s="7"/>
      <c r="P86" s="7"/>
      <c r="Q86" s="7"/>
      <c r="R86" s="7"/>
      <c r="S86" s="7"/>
      <c r="T86" s="7"/>
    </row>
    <row r="87" spans="1:20" ht="20" customHeight="1" x14ac:dyDescent="0.35">
      <c r="A87" s="7"/>
      <c r="B87" s="7"/>
      <c r="C87" s="7"/>
      <c r="D87" s="7"/>
      <c r="E87" s="7"/>
      <c r="F87" s="7"/>
      <c r="G87" s="7"/>
      <c r="H87" s="7"/>
      <c r="I87" s="7"/>
      <c r="J87" s="7"/>
      <c r="K87" s="7"/>
      <c r="L87" s="7"/>
      <c r="M87" s="7"/>
      <c r="N87" s="7"/>
      <c r="O87" s="7"/>
      <c r="P87" s="7"/>
      <c r="Q87" s="7"/>
      <c r="R87" s="7"/>
      <c r="S87" s="7"/>
      <c r="T87" s="7"/>
    </row>
    <row r="88" spans="1:20" ht="20" customHeight="1" x14ac:dyDescent="0.35">
      <c r="A88" s="7"/>
      <c r="B88" s="7"/>
      <c r="C88" s="7"/>
      <c r="D88" s="7"/>
      <c r="E88" s="7"/>
      <c r="F88" s="7"/>
      <c r="G88" s="7"/>
      <c r="H88" s="7"/>
      <c r="I88" s="7"/>
      <c r="J88" s="7"/>
      <c r="K88" s="7"/>
      <c r="L88" s="7"/>
      <c r="M88" s="7"/>
      <c r="N88" s="7"/>
      <c r="O88" s="7"/>
      <c r="P88" s="7"/>
      <c r="Q88" s="7"/>
      <c r="R88" s="7"/>
      <c r="S88" s="7"/>
      <c r="T88" s="7"/>
    </row>
    <row r="89" spans="1:20" ht="20" customHeight="1" x14ac:dyDescent="0.35">
      <c r="A89" s="7"/>
      <c r="B89" s="7"/>
      <c r="C89" s="7"/>
      <c r="D89" s="7"/>
      <c r="E89" s="7"/>
      <c r="F89" s="7"/>
      <c r="G89" s="7"/>
      <c r="H89" s="7"/>
      <c r="I89" s="7"/>
      <c r="J89" s="7"/>
      <c r="K89" s="7"/>
      <c r="L89" s="7"/>
      <c r="M89" s="7"/>
      <c r="N89" s="7"/>
      <c r="O89" s="7"/>
      <c r="P89" s="7"/>
      <c r="Q89" s="7"/>
      <c r="R89" s="7"/>
      <c r="S89" s="7"/>
      <c r="T89" s="7"/>
    </row>
    <row r="90" spans="1:20" ht="20" customHeight="1" x14ac:dyDescent="0.35">
      <c r="A90" s="7"/>
      <c r="B90" s="7"/>
      <c r="C90" s="7"/>
      <c r="D90" s="7"/>
      <c r="E90" s="7"/>
      <c r="F90" s="7"/>
      <c r="G90" s="7"/>
      <c r="H90" s="7"/>
      <c r="I90" s="7"/>
      <c r="J90" s="7"/>
      <c r="K90" s="7"/>
      <c r="L90" s="7"/>
      <c r="M90" s="7"/>
      <c r="N90" s="7"/>
      <c r="O90" s="7"/>
      <c r="P90" s="7"/>
      <c r="Q90" s="7"/>
      <c r="R90" s="7"/>
      <c r="S90" s="7"/>
      <c r="T90" s="7"/>
    </row>
  </sheetData>
  <mergeCells count="18">
    <mergeCell ref="A8:T8"/>
    <mergeCell ref="I6:L6"/>
    <mergeCell ref="M3:P3"/>
    <mergeCell ref="M4:P5"/>
    <mergeCell ref="M6:P6"/>
    <mergeCell ref="Q3:T3"/>
    <mergeCell ref="Q4:T5"/>
    <mergeCell ref="Q6:T6"/>
    <mergeCell ref="A1:T1"/>
    <mergeCell ref="A2:T2"/>
    <mergeCell ref="A3:D3"/>
    <mergeCell ref="A4:D5"/>
    <mergeCell ref="A6:D6"/>
    <mergeCell ref="E3:H3"/>
    <mergeCell ref="E4:H5"/>
    <mergeCell ref="E6:H6"/>
    <mergeCell ref="I3:L3"/>
    <mergeCell ref="I4:L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ED0D0-911A-4C1F-8ADD-F63B2D581262}">
  <dimension ref="A1:AI1471"/>
  <sheetViews>
    <sheetView workbookViewId="0">
      <selection activeCell="E11" sqref="A1:AI1471"/>
    </sheetView>
  </sheetViews>
  <sheetFormatPr defaultRowHeight="14.5" x14ac:dyDescent="0.35"/>
  <cols>
    <col min="5" max="5" width="21.36328125" bestFit="1" customWidth="1"/>
    <col min="9" max="9" width="13.6328125" bestFit="1" customWidth="1"/>
    <col min="10" max="10" width="15.1796875" bestFit="1" customWidth="1"/>
  </cols>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row>
    <row r="3" spans="1:35" x14ac:dyDescent="0.35">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row>
    <row r="4" spans="1:35" x14ac:dyDescent="0.35">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row>
    <row r="5" spans="1:35" x14ac:dyDescent="0.35">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row>
    <row r="6" spans="1:35" x14ac:dyDescent="0.35">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row>
    <row r="7" spans="1:35" x14ac:dyDescent="0.35">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row>
    <row r="8" spans="1:35" x14ac:dyDescent="0.35">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row>
    <row r="9" spans="1:35" x14ac:dyDescent="0.35">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row>
    <row r="10" spans="1:35" x14ac:dyDescent="0.35">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row>
    <row r="11" spans="1:35" x14ac:dyDescent="0.35">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row>
    <row r="12" spans="1:35" x14ac:dyDescent="0.35">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row>
    <row r="13" spans="1:35" x14ac:dyDescent="0.35">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row>
    <row r="14" spans="1:35" x14ac:dyDescent="0.35">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row>
    <row r="15" spans="1:35" x14ac:dyDescent="0.35">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row>
    <row r="16" spans="1:35" x14ac:dyDescent="0.35">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row>
    <row r="17" spans="1:35" x14ac:dyDescent="0.35">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row>
    <row r="18" spans="1:35" x14ac:dyDescent="0.35">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row>
    <row r="19" spans="1:35" x14ac:dyDescent="0.35">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row>
    <row r="20" spans="1:35" x14ac:dyDescent="0.35">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row>
    <row r="21" spans="1:35" x14ac:dyDescent="0.35">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row>
    <row r="22" spans="1:35" x14ac:dyDescent="0.35">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row>
    <row r="23" spans="1:35" x14ac:dyDescent="0.35">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row>
    <row r="24" spans="1:35" x14ac:dyDescent="0.35">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row>
    <row r="25" spans="1:35" x14ac:dyDescent="0.35">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row>
    <row r="26" spans="1:35" x14ac:dyDescent="0.35">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row>
    <row r="27" spans="1:35" x14ac:dyDescent="0.35">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row>
    <row r="28" spans="1:35" x14ac:dyDescent="0.35">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row>
    <row r="29" spans="1:35" x14ac:dyDescent="0.35">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row>
    <row r="30" spans="1:35" x14ac:dyDescent="0.35">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row>
    <row r="31" spans="1:35" x14ac:dyDescent="0.35">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row>
    <row r="32" spans="1:35" x14ac:dyDescent="0.35">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row>
    <row r="33" spans="1:35" x14ac:dyDescent="0.35">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row>
    <row r="34" spans="1:35" x14ac:dyDescent="0.35">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row>
    <row r="35" spans="1:35" x14ac:dyDescent="0.35">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row>
    <row r="36" spans="1:35" x14ac:dyDescent="0.35">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row>
    <row r="37" spans="1:35" x14ac:dyDescent="0.35">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row>
    <row r="38" spans="1:35" x14ac:dyDescent="0.35">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row>
    <row r="39" spans="1:35" x14ac:dyDescent="0.35">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row>
    <row r="40" spans="1:35" x14ac:dyDescent="0.35">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row>
    <row r="41" spans="1:35" x14ac:dyDescent="0.35">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row>
    <row r="42" spans="1:35" x14ac:dyDescent="0.35">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row>
    <row r="43" spans="1:35" x14ac:dyDescent="0.35">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row>
    <row r="44" spans="1:35" x14ac:dyDescent="0.35">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row>
    <row r="45" spans="1:35" x14ac:dyDescent="0.35">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row>
    <row r="46" spans="1:35" x14ac:dyDescent="0.35">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row>
    <row r="47" spans="1:35" x14ac:dyDescent="0.35">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row>
    <row r="48" spans="1:35" x14ac:dyDescent="0.35">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row>
    <row r="49" spans="1:35" x14ac:dyDescent="0.35">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row>
    <row r="50" spans="1:35" x14ac:dyDescent="0.35">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row>
    <row r="51" spans="1:35" x14ac:dyDescent="0.35">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row>
    <row r="52" spans="1:35" x14ac:dyDescent="0.35">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row>
    <row r="53" spans="1:35" x14ac:dyDescent="0.35">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row>
    <row r="54" spans="1:35" x14ac:dyDescent="0.35">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row>
    <row r="55" spans="1:35" x14ac:dyDescent="0.35">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row>
    <row r="56" spans="1:35" x14ac:dyDescent="0.35">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row>
    <row r="57" spans="1:35" x14ac:dyDescent="0.35">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row>
    <row r="58" spans="1:35" x14ac:dyDescent="0.35">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row>
    <row r="59" spans="1:35" x14ac:dyDescent="0.35">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row>
    <row r="60" spans="1:35" x14ac:dyDescent="0.35">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row>
    <row r="61" spans="1:35" x14ac:dyDescent="0.35">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row>
    <row r="62" spans="1:35" x14ac:dyDescent="0.35">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row>
    <row r="63" spans="1:35" x14ac:dyDescent="0.35">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row>
    <row r="64" spans="1:35" x14ac:dyDescent="0.35">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row>
    <row r="65" spans="1:35" x14ac:dyDescent="0.35">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row>
    <row r="66" spans="1:35" x14ac:dyDescent="0.35">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row>
    <row r="67" spans="1:35" x14ac:dyDescent="0.35">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row>
    <row r="68" spans="1:35" x14ac:dyDescent="0.35">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row>
    <row r="69" spans="1:35" x14ac:dyDescent="0.35">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row>
    <row r="70" spans="1:35" x14ac:dyDescent="0.35">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row>
    <row r="71" spans="1:35" x14ac:dyDescent="0.35">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row>
    <row r="72" spans="1:35" x14ac:dyDescent="0.35">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row>
    <row r="73" spans="1:35" x14ac:dyDescent="0.35">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row>
    <row r="74" spans="1:35" x14ac:dyDescent="0.35">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row>
    <row r="75" spans="1:35" x14ac:dyDescent="0.35">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row>
    <row r="76" spans="1:35" x14ac:dyDescent="0.35">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row>
    <row r="77" spans="1:35" x14ac:dyDescent="0.35">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row>
    <row r="78" spans="1:35" x14ac:dyDescent="0.35">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row>
    <row r="79" spans="1:35" x14ac:dyDescent="0.35">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row>
    <row r="80" spans="1:35" x14ac:dyDescent="0.35">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row>
    <row r="81" spans="1:35" x14ac:dyDescent="0.35">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row>
    <row r="82" spans="1:35" x14ac:dyDescent="0.35">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row>
    <row r="83" spans="1:35" x14ac:dyDescent="0.35">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row>
    <row r="84" spans="1:35" x14ac:dyDescent="0.35">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row>
    <row r="85" spans="1:35" x14ac:dyDescent="0.35">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row>
    <row r="86" spans="1:35" x14ac:dyDescent="0.35">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row>
    <row r="87" spans="1:35" x14ac:dyDescent="0.35">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row>
    <row r="88" spans="1:35" x14ac:dyDescent="0.35">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row>
    <row r="89" spans="1:35" x14ac:dyDescent="0.35">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row>
    <row r="90" spans="1:35" x14ac:dyDescent="0.35">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row>
    <row r="91" spans="1:35" x14ac:dyDescent="0.35">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row>
    <row r="92" spans="1:35" x14ac:dyDescent="0.35">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row>
    <row r="93" spans="1:35" x14ac:dyDescent="0.35">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row>
    <row r="94" spans="1:35" x14ac:dyDescent="0.35">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row>
    <row r="95" spans="1:35" x14ac:dyDescent="0.35">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row>
    <row r="96" spans="1:35" x14ac:dyDescent="0.35">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row>
    <row r="97" spans="1:35" x14ac:dyDescent="0.35">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row>
    <row r="98" spans="1:35" x14ac:dyDescent="0.35">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row>
    <row r="99" spans="1:35" x14ac:dyDescent="0.35">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row>
    <row r="100" spans="1:35" x14ac:dyDescent="0.35">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row>
    <row r="101" spans="1:35" x14ac:dyDescent="0.35">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row>
    <row r="102" spans="1:35" x14ac:dyDescent="0.35">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row>
    <row r="103" spans="1:35" x14ac:dyDescent="0.35">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row>
    <row r="104" spans="1:35" x14ac:dyDescent="0.35">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row>
    <row r="105" spans="1:35" x14ac:dyDescent="0.35">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row>
    <row r="106" spans="1:35" x14ac:dyDescent="0.35">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row>
    <row r="107" spans="1:35" x14ac:dyDescent="0.35">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row>
    <row r="108" spans="1:35" x14ac:dyDescent="0.35">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row>
    <row r="109" spans="1:35" x14ac:dyDescent="0.35">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row>
    <row r="110" spans="1:35" x14ac:dyDescent="0.35">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row>
    <row r="111" spans="1:35" x14ac:dyDescent="0.35">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row>
    <row r="112" spans="1:35" x14ac:dyDescent="0.35">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row>
    <row r="113" spans="1:35" x14ac:dyDescent="0.35">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row>
    <row r="114" spans="1:35" x14ac:dyDescent="0.35">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row>
    <row r="115" spans="1:35" x14ac:dyDescent="0.35">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row>
    <row r="116" spans="1:35" x14ac:dyDescent="0.35">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row>
    <row r="117" spans="1:35" x14ac:dyDescent="0.35">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row>
    <row r="118" spans="1:35" x14ac:dyDescent="0.35">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row>
    <row r="119" spans="1:35" x14ac:dyDescent="0.35">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row>
    <row r="120" spans="1:35" x14ac:dyDescent="0.35">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row>
    <row r="121" spans="1:35" x14ac:dyDescent="0.35">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row>
    <row r="122" spans="1:35" x14ac:dyDescent="0.35">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row>
    <row r="123" spans="1:35" x14ac:dyDescent="0.35">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row>
    <row r="124" spans="1:35" x14ac:dyDescent="0.35">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row>
    <row r="125" spans="1:35" x14ac:dyDescent="0.35">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row>
    <row r="126" spans="1:35" x14ac:dyDescent="0.35">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row>
    <row r="127" spans="1:35" x14ac:dyDescent="0.35">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row>
    <row r="128" spans="1:35" x14ac:dyDescent="0.35">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row>
    <row r="129" spans="1:35" x14ac:dyDescent="0.35">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row>
    <row r="130" spans="1:35" x14ac:dyDescent="0.35">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row>
    <row r="131" spans="1:35" x14ac:dyDescent="0.35">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row>
    <row r="132" spans="1:35" x14ac:dyDescent="0.35">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row>
    <row r="133" spans="1:35" x14ac:dyDescent="0.35">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row>
    <row r="134" spans="1:35" x14ac:dyDescent="0.35">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row>
    <row r="135" spans="1:35" x14ac:dyDescent="0.35">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row>
    <row r="136" spans="1:35" x14ac:dyDescent="0.35">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row>
    <row r="137" spans="1:35" x14ac:dyDescent="0.35">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row>
    <row r="138" spans="1:35" x14ac:dyDescent="0.35">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row>
    <row r="139" spans="1:35" x14ac:dyDescent="0.35">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row>
    <row r="140" spans="1:35" x14ac:dyDescent="0.35">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row>
    <row r="141" spans="1:35" x14ac:dyDescent="0.35">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row>
    <row r="142" spans="1:35" x14ac:dyDescent="0.35">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row>
    <row r="143" spans="1:35" x14ac:dyDescent="0.35">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row>
    <row r="144" spans="1:35" x14ac:dyDescent="0.35">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row>
    <row r="145" spans="1:35" x14ac:dyDescent="0.35">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row>
    <row r="146" spans="1:35" x14ac:dyDescent="0.35">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row>
    <row r="147" spans="1:35" x14ac:dyDescent="0.35">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row>
    <row r="148" spans="1:35" x14ac:dyDescent="0.35">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row>
    <row r="149" spans="1:35" x14ac:dyDescent="0.35">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row>
    <row r="150" spans="1:35" x14ac:dyDescent="0.35">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row>
    <row r="151" spans="1:35" x14ac:dyDescent="0.35">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row>
    <row r="152" spans="1:35" x14ac:dyDescent="0.35">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row>
    <row r="153" spans="1:35" x14ac:dyDescent="0.35">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row>
    <row r="154" spans="1:35" x14ac:dyDescent="0.35">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row>
    <row r="155" spans="1:35" x14ac:dyDescent="0.35">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row>
    <row r="156" spans="1:35" x14ac:dyDescent="0.35">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row>
    <row r="157" spans="1:35" x14ac:dyDescent="0.35">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row>
    <row r="158" spans="1:35" x14ac:dyDescent="0.35">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row>
    <row r="159" spans="1:35" x14ac:dyDescent="0.35">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row>
    <row r="160" spans="1:35" x14ac:dyDescent="0.35">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row>
    <row r="161" spans="1:35" x14ac:dyDescent="0.35">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row>
    <row r="162" spans="1:35" x14ac:dyDescent="0.35">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row>
    <row r="163" spans="1:35" x14ac:dyDescent="0.35">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row>
    <row r="164" spans="1:35" x14ac:dyDescent="0.35">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row>
    <row r="165" spans="1:35" x14ac:dyDescent="0.35">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row>
    <row r="166" spans="1:35" x14ac:dyDescent="0.35">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row>
    <row r="167" spans="1:35" x14ac:dyDescent="0.35">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row>
    <row r="168" spans="1:35" x14ac:dyDescent="0.35">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row>
    <row r="169" spans="1:35" x14ac:dyDescent="0.35">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row>
    <row r="170" spans="1:35" x14ac:dyDescent="0.35">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row>
    <row r="171" spans="1:35" x14ac:dyDescent="0.35">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row>
    <row r="172" spans="1:35" x14ac:dyDescent="0.35">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row>
    <row r="173" spans="1:35" x14ac:dyDescent="0.35">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row>
    <row r="174" spans="1:35" x14ac:dyDescent="0.35">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row>
    <row r="175" spans="1:35" x14ac:dyDescent="0.35">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row>
    <row r="176" spans="1:35" x14ac:dyDescent="0.35">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row>
    <row r="177" spans="1:35" x14ac:dyDescent="0.35">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row>
    <row r="178" spans="1:35" x14ac:dyDescent="0.35">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row>
    <row r="179" spans="1:35" x14ac:dyDescent="0.35">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row>
    <row r="180" spans="1:35" x14ac:dyDescent="0.35">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row>
    <row r="181" spans="1:35" x14ac:dyDescent="0.35">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row>
    <row r="182" spans="1:35" x14ac:dyDescent="0.35">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row>
    <row r="183" spans="1:35" x14ac:dyDescent="0.35">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row>
    <row r="184" spans="1:35" x14ac:dyDescent="0.35">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row>
    <row r="185" spans="1:35" x14ac:dyDescent="0.35">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row>
    <row r="186" spans="1:35" x14ac:dyDescent="0.35">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row>
    <row r="187" spans="1:35" x14ac:dyDescent="0.35">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row>
    <row r="188" spans="1:35" x14ac:dyDescent="0.35">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row>
    <row r="189" spans="1:35" x14ac:dyDescent="0.35">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row>
    <row r="190" spans="1:35" x14ac:dyDescent="0.35">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row>
    <row r="191" spans="1:35" x14ac:dyDescent="0.35">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row>
    <row r="192" spans="1:35" x14ac:dyDescent="0.35">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row>
    <row r="193" spans="1:35" x14ac:dyDescent="0.35">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row>
    <row r="194" spans="1:35" x14ac:dyDescent="0.35">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row>
    <row r="195" spans="1:35" x14ac:dyDescent="0.35">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row>
    <row r="196" spans="1:35" x14ac:dyDescent="0.35">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row>
    <row r="197" spans="1:35" x14ac:dyDescent="0.35">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row>
    <row r="198" spans="1:35" x14ac:dyDescent="0.35">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row>
    <row r="199" spans="1:35" x14ac:dyDescent="0.35">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row>
    <row r="200" spans="1:35" x14ac:dyDescent="0.35">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row>
    <row r="201" spans="1:35" x14ac:dyDescent="0.35">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row>
    <row r="202" spans="1:35" x14ac:dyDescent="0.35">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row>
    <row r="203" spans="1:35" x14ac:dyDescent="0.35">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row>
    <row r="204" spans="1:35" x14ac:dyDescent="0.35">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row>
    <row r="205" spans="1:35" x14ac:dyDescent="0.35">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row>
    <row r="206" spans="1:35" x14ac:dyDescent="0.35">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row>
    <row r="207" spans="1:35" x14ac:dyDescent="0.35">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row>
    <row r="208" spans="1:35" x14ac:dyDescent="0.35">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row>
    <row r="209" spans="1:35" x14ac:dyDescent="0.35">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row>
    <row r="210" spans="1:35" x14ac:dyDescent="0.35">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row>
    <row r="211" spans="1:35" x14ac:dyDescent="0.35">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row>
    <row r="212" spans="1:35" x14ac:dyDescent="0.35">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row>
    <row r="213" spans="1:35" x14ac:dyDescent="0.35">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row>
    <row r="214" spans="1:35" x14ac:dyDescent="0.35">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row>
    <row r="215" spans="1:35" x14ac:dyDescent="0.35">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row>
    <row r="216" spans="1:35" x14ac:dyDescent="0.35">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row>
    <row r="217" spans="1:35" x14ac:dyDescent="0.35">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row>
    <row r="218" spans="1:35" x14ac:dyDescent="0.35">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row>
    <row r="219" spans="1:35" x14ac:dyDescent="0.35">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row>
    <row r="220" spans="1:35" x14ac:dyDescent="0.35">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row>
    <row r="221" spans="1:35" x14ac:dyDescent="0.35">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row>
    <row r="222" spans="1:35" x14ac:dyDescent="0.35">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row>
    <row r="223" spans="1:35" x14ac:dyDescent="0.35">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row>
    <row r="224" spans="1:35" x14ac:dyDescent="0.35">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row>
    <row r="225" spans="1:35" x14ac:dyDescent="0.35">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row>
    <row r="226" spans="1:35" x14ac:dyDescent="0.35">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row>
    <row r="227" spans="1:35" x14ac:dyDescent="0.35">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row>
    <row r="228" spans="1:35" x14ac:dyDescent="0.35">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row>
    <row r="229" spans="1:35" x14ac:dyDescent="0.35">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row>
    <row r="230" spans="1:35" x14ac:dyDescent="0.35">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row>
    <row r="231" spans="1:35" x14ac:dyDescent="0.35">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row>
    <row r="232" spans="1:35" x14ac:dyDescent="0.35">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row>
    <row r="233" spans="1:35" x14ac:dyDescent="0.35">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row>
    <row r="234" spans="1:35" x14ac:dyDescent="0.35">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row>
    <row r="235" spans="1:35" x14ac:dyDescent="0.35">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row>
    <row r="236" spans="1:35" x14ac:dyDescent="0.35">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row>
    <row r="237" spans="1:35" x14ac:dyDescent="0.35">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row>
    <row r="238" spans="1:35" x14ac:dyDescent="0.35">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row>
    <row r="239" spans="1:35" x14ac:dyDescent="0.35">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row>
    <row r="240" spans="1:35" x14ac:dyDescent="0.35">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row>
    <row r="241" spans="1:35" x14ac:dyDescent="0.35">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row>
    <row r="242" spans="1:35" x14ac:dyDescent="0.35">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row>
    <row r="243" spans="1:35" x14ac:dyDescent="0.35">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row>
    <row r="244" spans="1:35" x14ac:dyDescent="0.35">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row>
    <row r="245" spans="1:35" x14ac:dyDescent="0.35">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row>
    <row r="246" spans="1:35" x14ac:dyDescent="0.35">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row>
    <row r="247" spans="1:35" x14ac:dyDescent="0.35">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row>
    <row r="248" spans="1:35" x14ac:dyDescent="0.35">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row>
    <row r="249" spans="1:35" x14ac:dyDescent="0.35">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row>
    <row r="250" spans="1:35" x14ac:dyDescent="0.35">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row>
    <row r="251" spans="1:35" x14ac:dyDescent="0.35">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row>
    <row r="252" spans="1:35" x14ac:dyDescent="0.35">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row>
    <row r="253" spans="1:35" x14ac:dyDescent="0.35">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row>
    <row r="254" spans="1:35" x14ac:dyDescent="0.35">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row>
    <row r="255" spans="1:35" x14ac:dyDescent="0.35">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row>
    <row r="256" spans="1:35" x14ac:dyDescent="0.35">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row>
    <row r="257" spans="1:35" x14ac:dyDescent="0.35">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row>
    <row r="258" spans="1:35" x14ac:dyDescent="0.35">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row>
    <row r="259" spans="1:35" x14ac:dyDescent="0.35">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row>
    <row r="260" spans="1:35" x14ac:dyDescent="0.35">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row>
    <row r="261" spans="1:35" x14ac:dyDescent="0.35">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row>
    <row r="262" spans="1:35" x14ac:dyDescent="0.35">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row>
    <row r="263" spans="1:35" x14ac:dyDescent="0.35">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row>
    <row r="264" spans="1:35" x14ac:dyDescent="0.35">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row>
    <row r="265" spans="1:35" x14ac:dyDescent="0.35">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row>
    <row r="266" spans="1:35" x14ac:dyDescent="0.35">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row>
    <row r="267" spans="1:35" x14ac:dyDescent="0.35">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row>
    <row r="268" spans="1:35" x14ac:dyDescent="0.35">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row>
    <row r="269" spans="1:35" x14ac:dyDescent="0.35">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row>
    <row r="270" spans="1:35" x14ac:dyDescent="0.35">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row>
    <row r="271" spans="1:35" x14ac:dyDescent="0.35">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row>
    <row r="272" spans="1:35" x14ac:dyDescent="0.35">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row>
    <row r="273" spans="1:35" x14ac:dyDescent="0.35">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row>
    <row r="274" spans="1:35" x14ac:dyDescent="0.35">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row>
    <row r="275" spans="1:35" x14ac:dyDescent="0.35">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row>
    <row r="276" spans="1:35" x14ac:dyDescent="0.35">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row>
    <row r="277" spans="1:35" x14ac:dyDescent="0.35">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row>
    <row r="278" spans="1:35" x14ac:dyDescent="0.35">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row>
    <row r="279" spans="1:35" x14ac:dyDescent="0.35">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row>
    <row r="280" spans="1:35" x14ac:dyDescent="0.35">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row>
    <row r="281" spans="1:35" x14ac:dyDescent="0.35">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row>
    <row r="282" spans="1:35" x14ac:dyDescent="0.35">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row>
    <row r="283" spans="1:35" x14ac:dyDescent="0.35">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row>
    <row r="284" spans="1:35" x14ac:dyDescent="0.35">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row>
    <row r="285" spans="1:35" x14ac:dyDescent="0.35">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row>
    <row r="286" spans="1:35" x14ac:dyDescent="0.35">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row>
    <row r="287" spans="1:35" x14ac:dyDescent="0.35">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row>
    <row r="288" spans="1:35" x14ac:dyDescent="0.35">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row>
    <row r="289" spans="1:35" x14ac:dyDescent="0.35">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row>
    <row r="290" spans="1:35" x14ac:dyDescent="0.35">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row>
    <row r="291" spans="1:35" x14ac:dyDescent="0.35">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row>
    <row r="292" spans="1:35" x14ac:dyDescent="0.35">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row>
    <row r="293" spans="1:35" x14ac:dyDescent="0.35">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row>
    <row r="294" spans="1:35" x14ac:dyDescent="0.35">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row>
    <row r="295" spans="1:35" x14ac:dyDescent="0.35">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row>
    <row r="296" spans="1:35" x14ac:dyDescent="0.35">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row>
    <row r="297" spans="1:35" x14ac:dyDescent="0.35">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row>
    <row r="298" spans="1:35" x14ac:dyDescent="0.35">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row>
    <row r="299" spans="1:35" x14ac:dyDescent="0.35">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row>
    <row r="300" spans="1:35" x14ac:dyDescent="0.35">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row>
    <row r="301" spans="1:35" x14ac:dyDescent="0.35">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row>
    <row r="302" spans="1:35" x14ac:dyDescent="0.35">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row>
    <row r="303" spans="1:35" x14ac:dyDescent="0.35">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row>
    <row r="304" spans="1:35" x14ac:dyDescent="0.35">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row>
    <row r="305" spans="1:35" x14ac:dyDescent="0.35">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row>
    <row r="306" spans="1:35" x14ac:dyDescent="0.35">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row>
    <row r="307" spans="1:35" x14ac:dyDescent="0.35">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row>
    <row r="308" spans="1:35" x14ac:dyDescent="0.35">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row>
    <row r="309" spans="1:35" x14ac:dyDescent="0.35">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row>
    <row r="310" spans="1:35" x14ac:dyDescent="0.35">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row>
    <row r="311" spans="1:35" x14ac:dyDescent="0.35">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row>
    <row r="312" spans="1:35" x14ac:dyDescent="0.35">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row>
    <row r="313" spans="1:35" x14ac:dyDescent="0.35">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row>
    <row r="314" spans="1:35" x14ac:dyDescent="0.35">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row>
    <row r="315" spans="1:35" x14ac:dyDescent="0.35">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row>
    <row r="316" spans="1:35" x14ac:dyDescent="0.35">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row>
    <row r="317" spans="1:35" x14ac:dyDescent="0.35">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row>
    <row r="318" spans="1:35" x14ac:dyDescent="0.35">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row>
    <row r="319" spans="1:35" x14ac:dyDescent="0.35">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row>
    <row r="320" spans="1:35" x14ac:dyDescent="0.35">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row>
    <row r="321" spans="1:35" x14ac:dyDescent="0.35">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row>
    <row r="322" spans="1:35" x14ac:dyDescent="0.35">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row>
    <row r="323" spans="1:35" x14ac:dyDescent="0.35">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row>
    <row r="324" spans="1:35" x14ac:dyDescent="0.35">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row>
    <row r="325" spans="1:35" x14ac:dyDescent="0.35">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row>
    <row r="326" spans="1:35" x14ac:dyDescent="0.35">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row>
    <row r="327" spans="1:35" x14ac:dyDescent="0.35">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row>
    <row r="328" spans="1:35" x14ac:dyDescent="0.35">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row>
    <row r="329" spans="1:35" x14ac:dyDescent="0.35">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row>
    <row r="330" spans="1:35" x14ac:dyDescent="0.35">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row>
    <row r="331" spans="1:35" x14ac:dyDescent="0.35">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row>
    <row r="332" spans="1:35" x14ac:dyDescent="0.35">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row>
    <row r="333" spans="1:35" x14ac:dyDescent="0.35">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row>
    <row r="334" spans="1:35" x14ac:dyDescent="0.35">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row>
    <row r="335" spans="1:35" x14ac:dyDescent="0.35">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row>
    <row r="336" spans="1:35" x14ac:dyDescent="0.35">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row>
    <row r="337" spans="1:35" x14ac:dyDescent="0.35">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row>
    <row r="338" spans="1:35" x14ac:dyDescent="0.35">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row>
    <row r="339" spans="1:35" x14ac:dyDescent="0.35">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row>
    <row r="340" spans="1:35" x14ac:dyDescent="0.35">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row>
    <row r="341" spans="1:35" x14ac:dyDescent="0.35">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row>
    <row r="342" spans="1:35" x14ac:dyDescent="0.35">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row>
    <row r="343" spans="1:35" x14ac:dyDescent="0.35">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row>
    <row r="344" spans="1:35" x14ac:dyDescent="0.35">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row>
    <row r="345" spans="1:35" x14ac:dyDescent="0.35">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row>
    <row r="346" spans="1:35" x14ac:dyDescent="0.35">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row>
    <row r="347" spans="1:35" x14ac:dyDescent="0.35">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row>
    <row r="348" spans="1:35" x14ac:dyDescent="0.35">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row>
    <row r="349" spans="1:35" x14ac:dyDescent="0.35">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row>
    <row r="350" spans="1:35" x14ac:dyDescent="0.35">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row>
    <row r="351" spans="1:35" x14ac:dyDescent="0.35">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row>
    <row r="352" spans="1:35" x14ac:dyDescent="0.35">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row>
    <row r="353" spans="1:35" x14ac:dyDescent="0.35">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row>
    <row r="354" spans="1:35" x14ac:dyDescent="0.35">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row>
    <row r="355" spans="1:35" x14ac:dyDescent="0.35">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row>
    <row r="356" spans="1:35" x14ac:dyDescent="0.35">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row>
    <row r="357" spans="1:35" x14ac:dyDescent="0.35">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row>
    <row r="358" spans="1:35" x14ac:dyDescent="0.35">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row>
    <row r="359" spans="1:35" x14ac:dyDescent="0.35">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row>
    <row r="360" spans="1:35" x14ac:dyDescent="0.35">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row>
    <row r="361" spans="1:35" x14ac:dyDescent="0.35">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row>
    <row r="362" spans="1:35" x14ac:dyDescent="0.35">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row>
    <row r="363" spans="1:35" x14ac:dyDescent="0.35">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row>
    <row r="364" spans="1:35" x14ac:dyDescent="0.35">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row>
    <row r="365" spans="1:35" x14ac:dyDescent="0.35">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row>
    <row r="366" spans="1:35" x14ac:dyDescent="0.35">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row>
    <row r="367" spans="1:35" x14ac:dyDescent="0.35">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row>
    <row r="368" spans="1:35" x14ac:dyDescent="0.35">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row>
    <row r="369" spans="1:35" x14ac:dyDescent="0.35">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row>
    <row r="370" spans="1:35" x14ac:dyDescent="0.35">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row>
    <row r="371" spans="1:35" x14ac:dyDescent="0.35">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row>
    <row r="372" spans="1:35" x14ac:dyDescent="0.35">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row>
    <row r="373" spans="1:35" x14ac:dyDescent="0.35">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row>
    <row r="374" spans="1:35" x14ac:dyDescent="0.35">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row>
    <row r="375" spans="1:35" x14ac:dyDescent="0.35">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row>
    <row r="376" spans="1:35" x14ac:dyDescent="0.35">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row>
    <row r="377" spans="1:35" x14ac:dyDescent="0.35">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row>
    <row r="378" spans="1:35" x14ac:dyDescent="0.35">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row>
    <row r="379" spans="1:35" x14ac:dyDescent="0.35">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row>
    <row r="380" spans="1:35" x14ac:dyDescent="0.35">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row>
    <row r="381" spans="1:35" x14ac:dyDescent="0.35">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row>
    <row r="382" spans="1:35" x14ac:dyDescent="0.35">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row>
    <row r="383" spans="1:35" x14ac:dyDescent="0.35">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row>
    <row r="384" spans="1:35" x14ac:dyDescent="0.35">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row>
    <row r="385" spans="1:35" x14ac:dyDescent="0.35">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row>
    <row r="386" spans="1:35" x14ac:dyDescent="0.35">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row>
    <row r="387" spans="1:35" x14ac:dyDescent="0.35">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row>
    <row r="388" spans="1:35" x14ac:dyDescent="0.35">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row>
    <row r="389" spans="1:35" x14ac:dyDescent="0.35">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row>
    <row r="390" spans="1:35" x14ac:dyDescent="0.35">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row>
    <row r="391" spans="1:35" x14ac:dyDescent="0.35">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row>
    <row r="392" spans="1:35" x14ac:dyDescent="0.35">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row>
    <row r="393" spans="1:35" x14ac:dyDescent="0.35">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row>
    <row r="394" spans="1:35" x14ac:dyDescent="0.35">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row>
    <row r="395" spans="1:35" x14ac:dyDescent="0.35">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row>
    <row r="396" spans="1:35" x14ac:dyDescent="0.35">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row>
    <row r="397" spans="1:35" x14ac:dyDescent="0.35">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row>
    <row r="398" spans="1:35" x14ac:dyDescent="0.35">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row>
    <row r="399" spans="1:35" x14ac:dyDescent="0.35">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row>
    <row r="400" spans="1:35" x14ac:dyDescent="0.35">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row>
    <row r="401" spans="1:35" x14ac:dyDescent="0.35">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row>
    <row r="402" spans="1:35" x14ac:dyDescent="0.35">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row>
    <row r="403" spans="1:35" x14ac:dyDescent="0.35">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row>
    <row r="404" spans="1:35" x14ac:dyDescent="0.35">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row>
    <row r="405" spans="1:35" x14ac:dyDescent="0.35">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row>
    <row r="406" spans="1:35" x14ac:dyDescent="0.35">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row>
    <row r="407" spans="1:35" x14ac:dyDescent="0.35">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row>
    <row r="408" spans="1:35" x14ac:dyDescent="0.35">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row>
    <row r="409" spans="1:35" x14ac:dyDescent="0.35">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row>
    <row r="410" spans="1:35" x14ac:dyDescent="0.35">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row>
    <row r="411" spans="1:35" x14ac:dyDescent="0.35">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row>
    <row r="412" spans="1:35" x14ac:dyDescent="0.35">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row>
    <row r="413" spans="1:35" x14ac:dyDescent="0.35">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row>
    <row r="414" spans="1:35" x14ac:dyDescent="0.35">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row>
    <row r="415" spans="1:35" x14ac:dyDescent="0.35">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row>
    <row r="416" spans="1:35" x14ac:dyDescent="0.35">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row>
    <row r="417" spans="1:35" x14ac:dyDescent="0.35">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row>
    <row r="418" spans="1:35" x14ac:dyDescent="0.35">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row>
    <row r="419" spans="1:35" x14ac:dyDescent="0.35">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row>
    <row r="420" spans="1:35" x14ac:dyDescent="0.35">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row>
    <row r="421" spans="1:35" x14ac:dyDescent="0.35">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row>
    <row r="422" spans="1:35" x14ac:dyDescent="0.35">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row>
    <row r="423" spans="1:35" x14ac:dyDescent="0.35">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row>
    <row r="424" spans="1:35" x14ac:dyDescent="0.35">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row>
    <row r="425" spans="1:35" x14ac:dyDescent="0.35">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row>
    <row r="426" spans="1:35" x14ac:dyDescent="0.35">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row>
    <row r="427" spans="1:35" x14ac:dyDescent="0.35">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row>
    <row r="428" spans="1:35" x14ac:dyDescent="0.35">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row>
    <row r="429" spans="1:35" x14ac:dyDescent="0.35">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row>
    <row r="430" spans="1:35" x14ac:dyDescent="0.35">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row>
    <row r="431" spans="1:35" x14ac:dyDescent="0.35">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row>
    <row r="432" spans="1:35" x14ac:dyDescent="0.35">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row>
    <row r="433" spans="1:35" x14ac:dyDescent="0.35">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row>
    <row r="434" spans="1:35" x14ac:dyDescent="0.35">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row>
    <row r="435" spans="1:35" x14ac:dyDescent="0.35">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row>
    <row r="436" spans="1:35" x14ac:dyDescent="0.35">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row>
    <row r="437" spans="1:35" x14ac:dyDescent="0.35">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row>
    <row r="438" spans="1:35" x14ac:dyDescent="0.35">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row>
    <row r="439" spans="1:35" x14ac:dyDescent="0.35">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row>
    <row r="440" spans="1:35" x14ac:dyDescent="0.35">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row>
    <row r="441" spans="1:35" x14ac:dyDescent="0.35">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row>
    <row r="442" spans="1:35" x14ac:dyDescent="0.35">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row>
    <row r="443" spans="1:35" x14ac:dyDescent="0.35">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row>
    <row r="444" spans="1:35" x14ac:dyDescent="0.35">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row>
    <row r="445" spans="1:35" x14ac:dyDescent="0.35">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row>
    <row r="446" spans="1:35" x14ac:dyDescent="0.35">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row>
    <row r="447" spans="1:35" x14ac:dyDescent="0.35">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row>
    <row r="448" spans="1:35" x14ac:dyDescent="0.35">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row>
    <row r="449" spans="1:35" x14ac:dyDescent="0.35">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row>
    <row r="450" spans="1:35" x14ac:dyDescent="0.35">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row>
    <row r="451" spans="1:35" x14ac:dyDescent="0.35">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row>
    <row r="452" spans="1:35" x14ac:dyDescent="0.35">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row>
    <row r="453" spans="1:35" x14ac:dyDescent="0.35">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row>
    <row r="454" spans="1:35" x14ac:dyDescent="0.35">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row>
    <row r="455" spans="1:35" x14ac:dyDescent="0.35">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row>
    <row r="456" spans="1:35" x14ac:dyDescent="0.35">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row>
    <row r="457" spans="1:35" x14ac:dyDescent="0.35">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row>
    <row r="458" spans="1:35" x14ac:dyDescent="0.35">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row>
    <row r="459" spans="1:35" x14ac:dyDescent="0.35">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row>
    <row r="460" spans="1:35" x14ac:dyDescent="0.35">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row>
    <row r="461" spans="1:35" x14ac:dyDescent="0.35">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row>
    <row r="462" spans="1:35" x14ac:dyDescent="0.35">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row>
    <row r="463" spans="1:35" x14ac:dyDescent="0.35">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row>
    <row r="464" spans="1:35" x14ac:dyDescent="0.35">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row>
    <row r="465" spans="1:35" x14ac:dyDescent="0.35">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row>
    <row r="466" spans="1:35" x14ac:dyDescent="0.35">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row>
    <row r="467" spans="1:35" x14ac:dyDescent="0.35">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row>
    <row r="468" spans="1:35" x14ac:dyDescent="0.35">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row>
    <row r="469" spans="1:35" x14ac:dyDescent="0.35">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row>
    <row r="470" spans="1:35" x14ac:dyDescent="0.35">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row>
    <row r="471" spans="1:35" x14ac:dyDescent="0.35">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row>
    <row r="472" spans="1:35" x14ac:dyDescent="0.35">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row>
    <row r="473" spans="1:35" x14ac:dyDescent="0.35">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row>
    <row r="474" spans="1:35" x14ac:dyDescent="0.35">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row>
    <row r="475" spans="1:35" x14ac:dyDescent="0.35">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row>
    <row r="476" spans="1:35" x14ac:dyDescent="0.35">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row>
    <row r="477" spans="1:35" x14ac:dyDescent="0.35">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row>
    <row r="478" spans="1:35" x14ac:dyDescent="0.35">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row>
    <row r="479" spans="1:35" x14ac:dyDescent="0.35">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row>
    <row r="480" spans="1:35" x14ac:dyDescent="0.35">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row>
    <row r="481" spans="1:35" x14ac:dyDescent="0.35">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row>
    <row r="482" spans="1:35" x14ac:dyDescent="0.35">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row>
    <row r="483" spans="1:35" x14ac:dyDescent="0.35">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row>
    <row r="484" spans="1:35" x14ac:dyDescent="0.35">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row>
    <row r="485" spans="1:35" x14ac:dyDescent="0.35">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row>
    <row r="486" spans="1:35" x14ac:dyDescent="0.35">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row>
    <row r="487" spans="1:35" x14ac:dyDescent="0.35">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row>
    <row r="488" spans="1:35" x14ac:dyDescent="0.35">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row>
    <row r="489" spans="1:35" x14ac:dyDescent="0.35">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row>
    <row r="490" spans="1:35" x14ac:dyDescent="0.35">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row>
    <row r="491" spans="1:35" x14ac:dyDescent="0.35">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row>
    <row r="492" spans="1:35" x14ac:dyDescent="0.35">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row>
    <row r="493" spans="1:35" x14ac:dyDescent="0.35">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row>
    <row r="494" spans="1:35" x14ac:dyDescent="0.35">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row>
    <row r="495" spans="1:35" x14ac:dyDescent="0.35">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row>
    <row r="496" spans="1:35" x14ac:dyDescent="0.35">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row>
    <row r="497" spans="1:35" x14ac:dyDescent="0.35">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row>
    <row r="498" spans="1:35" x14ac:dyDescent="0.35">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row>
    <row r="499" spans="1:35" x14ac:dyDescent="0.35">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row>
    <row r="500" spans="1:35" x14ac:dyDescent="0.35">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row>
    <row r="501" spans="1:35" x14ac:dyDescent="0.35">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row>
    <row r="502" spans="1:35" x14ac:dyDescent="0.35">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row>
    <row r="503" spans="1:35" x14ac:dyDescent="0.35">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row>
    <row r="504" spans="1:35" x14ac:dyDescent="0.35">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row>
    <row r="505" spans="1:35" x14ac:dyDescent="0.35">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row>
    <row r="506" spans="1:35" x14ac:dyDescent="0.35">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row>
    <row r="507" spans="1:35" x14ac:dyDescent="0.35">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row>
    <row r="508" spans="1:35" x14ac:dyDescent="0.35">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row>
    <row r="509" spans="1:35" x14ac:dyDescent="0.35">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row>
    <row r="510" spans="1:35" x14ac:dyDescent="0.35">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row>
    <row r="511" spans="1:35" x14ac:dyDescent="0.35">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row>
    <row r="512" spans="1:35" x14ac:dyDescent="0.35">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row>
    <row r="513" spans="1:35" x14ac:dyDescent="0.35">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row>
    <row r="514" spans="1:35" x14ac:dyDescent="0.35">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row>
    <row r="515" spans="1:35" x14ac:dyDescent="0.35">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row>
    <row r="516" spans="1:35" x14ac:dyDescent="0.35">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row>
    <row r="517" spans="1:35" x14ac:dyDescent="0.35">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row>
    <row r="518" spans="1:35" x14ac:dyDescent="0.35">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row>
    <row r="519" spans="1:35" x14ac:dyDescent="0.35">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row>
    <row r="520" spans="1:35" x14ac:dyDescent="0.35">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row>
    <row r="521" spans="1:35" x14ac:dyDescent="0.35">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row>
    <row r="522" spans="1:35" x14ac:dyDescent="0.35">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row>
    <row r="523" spans="1:35" x14ac:dyDescent="0.35">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row>
    <row r="524" spans="1:35" x14ac:dyDescent="0.35">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row>
    <row r="525" spans="1:35" x14ac:dyDescent="0.35">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row>
    <row r="526" spans="1:35" x14ac:dyDescent="0.35">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row>
    <row r="527" spans="1:35" x14ac:dyDescent="0.35">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row>
    <row r="528" spans="1:35" x14ac:dyDescent="0.35">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row>
    <row r="529" spans="1:35" x14ac:dyDescent="0.35">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row>
    <row r="530" spans="1:35" x14ac:dyDescent="0.35">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row>
    <row r="531" spans="1:35" x14ac:dyDescent="0.35">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row>
    <row r="532" spans="1:35" x14ac:dyDescent="0.35">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row>
    <row r="533" spans="1:35" x14ac:dyDescent="0.35">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row>
    <row r="534" spans="1:35" x14ac:dyDescent="0.35">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row>
    <row r="535" spans="1:35" x14ac:dyDescent="0.35">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row>
    <row r="536" spans="1:35" x14ac:dyDescent="0.35">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row>
    <row r="537" spans="1:35" x14ac:dyDescent="0.35">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row>
    <row r="538" spans="1:35" x14ac:dyDescent="0.35">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row>
    <row r="539" spans="1:35" x14ac:dyDescent="0.35">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row>
    <row r="540" spans="1:35" x14ac:dyDescent="0.35">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row>
    <row r="541" spans="1:35" x14ac:dyDescent="0.35">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row>
    <row r="542" spans="1:35" x14ac:dyDescent="0.35">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row>
    <row r="543" spans="1:35" x14ac:dyDescent="0.35">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row>
    <row r="544" spans="1:35" x14ac:dyDescent="0.35">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row>
    <row r="545" spans="1:35" x14ac:dyDescent="0.35">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row>
    <row r="546" spans="1:35" x14ac:dyDescent="0.35">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row>
    <row r="547" spans="1:35" x14ac:dyDescent="0.35">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row>
    <row r="548" spans="1:35" x14ac:dyDescent="0.35">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row>
    <row r="549" spans="1:35" x14ac:dyDescent="0.35">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row>
    <row r="550" spans="1:35" x14ac:dyDescent="0.35">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row>
    <row r="551" spans="1:35" x14ac:dyDescent="0.35">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row>
    <row r="552" spans="1:35" x14ac:dyDescent="0.35">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row>
    <row r="553" spans="1:35" x14ac:dyDescent="0.35">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row>
    <row r="554" spans="1:35" x14ac:dyDescent="0.35">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row>
    <row r="555" spans="1:35" x14ac:dyDescent="0.35">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row>
    <row r="556" spans="1:35" x14ac:dyDescent="0.35">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row>
    <row r="557" spans="1:35" x14ac:dyDescent="0.35">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row>
    <row r="558" spans="1:35" x14ac:dyDescent="0.35">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row>
    <row r="559" spans="1:35" x14ac:dyDescent="0.35">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row>
    <row r="560" spans="1:35" x14ac:dyDescent="0.35">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row>
    <row r="561" spans="1:35" x14ac:dyDescent="0.35">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row>
    <row r="562" spans="1:35" x14ac:dyDescent="0.35">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row>
    <row r="563" spans="1:35" x14ac:dyDescent="0.35">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row>
    <row r="564" spans="1:35" x14ac:dyDescent="0.35">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row>
    <row r="565" spans="1:35" x14ac:dyDescent="0.35">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row>
    <row r="566" spans="1:35" x14ac:dyDescent="0.35">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row>
    <row r="567" spans="1:35" x14ac:dyDescent="0.35">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row>
    <row r="568" spans="1:35" x14ac:dyDescent="0.35">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row>
    <row r="569" spans="1:35" x14ac:dyDescent="0.35">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row>
    <row r="570" spans="1:35" x14ac:dyDescent="0.35">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row>
    <row r="571" spans="1:35" x14ac:dyDescent="0.35">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row>
    <row r="572" spans="1:35" x14ac:dyDescent="0.35">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row>
    <row r="573" spans="1:35" x14ac:dyDescent="0.35">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row>
    <row r="574" spans="1:35" x14ac:dyDescent="0.35">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row>
    <row r="575" spans="1:35" x14ac:dyDescent="0.35">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row>
    <row r="576" spans="1:35" x14ac:dyDescent="0.35">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row>
    <row r="577" spans="1:35" x14ac:dyDescent="0.35">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row>
    <row r="578" spans="1:35" x14ac:dyDescent="0.35">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row>
    <row r="579" spans="1:35" x14ac:dyDescent="0.35">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row>
    <row r="580" spans="1:35" x14ac:dyDescent="0.35">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row>
    <row r="581" spans="1:35" x14ac:dyDescent="0.35">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row>
    <row r="582" spans="1:35" x14ac:dyDescent="0.35">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row>
    <row r="583" spans="1:35" x14ac:dyDescent="0.35">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row>
    <row r="584" spans="1:35" x14ac:dyDescent="0.35">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row>
    <row r="585" spans="1:35" x14ac:dyDescent="0.35">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row>
    <row r="586" spans="1:35" x14ac:dyDescent="0.35">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row>
    <row r="587" spans="1:35" x14ac:dyDescent="0.35">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row>
    <row r="588" spans="1:35" x14ac:dyDescent="0.35">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row>
    <row r="589" spans="1:35" x14ac:dyDescent="0.35">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row>
    <row r="590" spans="1:35" x14ac:dyDescent="0.35">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row>
    <row r="591" spans="1:35" x14ac:dyDescent="0.35">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row>
    <row r="592" spans="1:35" x14ac:dyDescent="0.35">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row>
    <row r="593" spans="1:35" x14ac:dyDescent="0.35">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row>
    <row r="594" spans="1:35" x14ac:dyDescent="0.35">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row>
    <row r="595" spans="1:35" x14ac:dyDescent="0.35">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row>
    <row r="596" spans="1:35" x14ac:dyDescent="0.35">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row>
    <row r="597" spans="1:35" x14ac:dyDescent="0.35">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row>
    <row r="598" spans="1:35" x14ac:dyDescent="0.35">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row>
    <row r="599" spans="1:35" x14ac:dyDescent="0.35">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row>
    <row r="600" spans="1:35" x14ac:dyDescent="0.35">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row>
    <row r="601" spans="1:35" x14ac:dyDescent="0.35">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row>
    <row r="602" spans="1:35" x14ac:dyDescent="0.35">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row>
    <row r="603" spans="1:35" x14ac:dyDescent="0.35">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row>
    <row r="604" spans="1:35" x14ac:dyDescent="0.35">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row>
    <row r="605" spans="1:35" x14ac:dyDescent="0.35">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row>
    <row r="606" spans="1:35" x14ac:dyDescent="0.35">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row>
    <row r="607" spans="1:35" x14ac:dyDescent="0.35">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row>
    <row r="608" spans="1:35" x14ac:dyDescent="0.35">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row>
    <row r="609" spans="1:35" x14ac:dyDescent="0.35">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row>
    <row r="610" spans="1:35" x14ac:dyDescent="0.35">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row>
    <row r="611" spans="1:35" x14ac:dyDescent="0.35">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row>
    <row r="612" spans="1:35" x14ac:dyDescent="0.35">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row>
    <row r="613" spans="1:35" x14ac:dyDescent="0.35">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row>
    <row r="614" spans="1:35" x14ac:dyDescent="0.35">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row>
    <row r="615" spans="1:35" x14ac:dyDescent="0.35">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row>
    <row r="616" spans="1:35" x14ac:dyDescent="0.35">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row>
    <row r="617" spans="1:35" x14ac:dyDescent="0.35">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row>
    <row r="618" spans="1:35" x14ac:dyDescent="0.35">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row>
    <row r="619" spans="1:35" x14ac:dyDescent="0.35">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row>
    <row r="620" spans="1:35" x14ac:dyDescent="0.35">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row>
    <row r="621" spans="1:35" x14ac:dyDescent="0.35">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row>
    <row r="622" spans="1:35" x14ac:dyDescent="0.35">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row>
    <row r="623" spans="1:35" x14ac:dyDescent="0.35">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row>
    <row r="624" spans="1:35" x14ac:dyDescent="0.35">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row>
    <row r="625" spans="1:35" x14ac:dyDescent="0.35">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row>
    <row r="626" spans="1:35" x14ac:dyDescent="0.35">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row>
    <row r="627" spans="1:35" x14ac:dyDescent="0.35">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row>
    <row r="628" spans="1:35" x14ac:dyDescent="0.35">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row>
    <row r="629" spans="1:35" x14ac:dyDescent="0.35">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row>
    <row r="630" spans="1:35" x14ac:dyDescent="0.35">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row>
    <row r="631" spans="1:35" x14ac:dyDescent="0.35">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row>
    <row r="632" spans="1:35" x14ac:dyDescent="0.35">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row>
    <row r="633" spans="1:35" x14ac:dyDescent="0.35">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row>
    <row r="634" spans="1:35" x14ac:dyDescent="0.35">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row>
    <row r="635" spans="1:35" x14ac:dyDescent="0.35">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row>
    <row r="636" spans="1:35" x14ac:dyDescent="0.35">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row>
    <row r="637" spans="1:35" x14ac:dyDescent="0.35">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row>
    <row r="638" spans="1:35" x14ac:dyDescent="0.35">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row>
    <row r="639" spans="1:35" x14ac:dyDescent="0.35">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row>
    <row r="640" spans="1:35" x14ac:dyDescent="0.35">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row>
    <row r="641" spans="1:35" x14ac:dyDescent="0.35">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row>
    <row r="642" spans="1:35" x14ac:dyDescent="0.35">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row>
    <row r="643" spans="1:35" x14ac:dyDescent="0.35">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row>
    <row r="644" spans="1:35" x14ac:dyDescent="0.35">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row>
    <row r="645" spans="1:35" x14ac:dyDescent="0.35">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row>
    <row r="646" spans="1:35" x14ac:dyDescent="0.35">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row>
    <row r="647" spans="1:35" x14ac:dyDescent="0.35">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row>
    <row r="648" spans="1:35" x14ac:dyDescent="0.35">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row>
    <row r="649" spans="1:35" x14ac:dyDescent="0.35">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row>
    <row r="650" spans="1:35" x14ac:dyDescent="0.35">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row>
    <row r="651" spans="1:35" x14ac:dyDescent="0.35">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row>
    <row r="652" spans="1:35" x14ac:dyDescent="0.35">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row>
    <row r="653" spans="1:35" x14ac:dyDescent="0.35">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row>
    <row r="654" spans="1:35" x14ac:dyDescent="0.35">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row>
    <row r="655" spans="1:35" x14ac:dyDescent="0.35">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row>
    <row r="656" spans="1:35" x14ac:dyDescent="0.35">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row>
    <row r="657" spans="1:35" x14ac:dyDescent="0.35">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row>
    <row r="658" spans="1:35" x14ac:dyDescent="0.35">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row>
    <row r="659" spans="1:35" x14ac:dyDescent="0.35">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row>
    <row r="660" spans="1:35" x14ac:dyDescent="0.35">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row>
    <row r="661" spans="1:35" x14ac:dyDescent="0.35">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row>
    <row r="662" spans="1:35" x14ac:dyDescent="0.35">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row>
    <row r="663" spans="1:35" x14ac:dyDescent="0.35">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row>
    <row r="664" spans="1:35" x14ac:dyDescent="0.35">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row>
    <row r="665" spans="1:35" x14ac:dyDescent="0.35">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row>
    <row r="666" spans="1:35" x14ac:dyDescent="0.35">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row>
    <row r="667" spans="1:35" x14ac:dyDescent="0.35">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row>
    <row r="668" spans="1:35" x14ac:dyDescent="0.35">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row>
    <row r="669" spans="1:35" x14ac:dyDescent="0.35">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row>
    <row r="670" spans="1:35" x14ac:dyDescent="0.35">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row>
    <row r="671" spans="1:35" x14ac:dyDescent="0.35">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row>
    <row r="672" spans="1:35" x14ac:dyDescent="0.35">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row>
    <row r="673" spans="1:35" x14ac:dyDescent="0.35">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row>
    <row r="674" spans="1:35" x14ac:dyDescent="0.35">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row>
    <row r="675" spans="1:35" x14ac:dyDescent="0.35">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row>
    <row r="676" spans="1:35" x14ac:dyDescent="0.35">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row>
    <row r="677" spans="1:35" x14ac:dyDescent="0.35">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row>
    <row r="678" spans="1:35" x14ac:dyDescent="0.35">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row>
    <row r="679" spans="1:35" x14ac:dyDescent="0.35">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row>
    <row r="680" spans="1:35" x14ac:dyDescent="0.35">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row>
    <row r="681" spans="1:35" x14ac:dyDescent="0.35">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row>
    <row r="682" spans="1:35" x14ac:dyDescent="0.35">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row>
    <row r="683" spans="1:35" x14ac:dyDescent="0.35">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row>
    <row r="684" spans="1:35" x14ac:dyDescent="0.35">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row>
    <row r="685" spans="1:35" x14ac:dyDescent="0.35">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row>
    <row r="686" spans="1:35" x14ac:dyDescent="0.35">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row>
    <row r="687" spans="1:35" x14ac:dyDescent="0.35">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row>
    <row r="688" spans="1:35" x14ac:dyDescent="0.35">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row>
    <row r="689" spans="1:35" x14ac:dyDescent="0.35">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row>
    <row r="690" spans="1:35" x14ac:dyDescent="0.35">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row>
    <row r="691" spans="1:35" x14ac:dyDescent="0.35">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row>
    <row r="692" spans="1:35" x14ac:dyDescent="0.35">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row>
    <row r="693" spans="1:35" x14ac:dyDescent="0.35">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row>
    <row r="694" spans="1:35" x14ac:dyDescent="0.35">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row>
    <row r="695" spans="1:35" x14ac:dyDescent="0.35">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row>
    <row r="696" spans="1:35" x14ac:dyDescent="0.35">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row>
    <row r="697" spans="1:35" x14ac:dyDescent="0.35">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row>
    <row r="698" spans="1:35" x14ac:dyDescent="0.35">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row>
    <row r="699" spans="1:35" x14ac:dyDescent="0.35">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row>
    <row r="700" spans="1:35" x14ac:dyDescent="0.35">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row>
    <row r="701" spans="1:35" x14ac:dyDescent="0.35">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row>
    <row r="702" spans="1:35" x14ac:dyDescent="0.35">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row>
    <row r="703" spans="1:35" x14ac:dyDescent="0.35">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row>
    <row r="704" spans="1:35" x14ac:dyDescent="0.35">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row>
    <row r="705" spans="1:35" x14ac:dyDescent="0.35">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row>
    <row r="706" spans="1:35" x14ac:dyDescent="0.35">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row>
    <row r="707" spans="1:35" x14ac:dyDescent="0.35">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row>
    <row r="708" spans="1:35" x14ac:dyDescent="0.35">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row>
    <row r="709" spans="1:35" x14ac:dyDescent="0.35">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row>
    <row r="710" spans="1:35" x14ac:dyDescent="0.35">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row>
    <row r="711" spans="1:35" x14ac:dyDescent="0.35">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row>
    <row r="712" spans="1:35" x14ac:dyDescent="0.35">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row>
    <row r="713" spans="1:35" x14ac:dyDescent="0.35">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row>
    <row r="714" spans="1:35" x14ac:dyDescent="0.35">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row>
    <row r="715" spans="1:35" x14ac:dyDescent="0.35">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row>
    <row r="716" spans="1:35" x14ac:dyDescent="0.35">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row>
    <row r="717" spans="1:35" x14ac:dyDescent="0.35">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row>
    <row r="718" spans="1:35" x14ac:dyDescent="0.35">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row>
    <row r="719" spans="1:35" x14ac:dyDescent="0.35">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row>
    <row r="720" spans="1:35" x14ac:dyDescent="0.35">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row>
    <row r="721" spans="1:35" x14ac:dyDescent="0.35">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row>
    <row r="722" spans="1:35" x14ac:dyDescent="0.35">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row>
    <row r="723" spans="1:35" x14ac:dyDescent="0.35">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row>
    <row r="724" spans="1:35" x14ac:dyDescent="0.35">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row>
    <row r="725" spans="1:35" x14ac:dyDescent="0.35">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row>
    <row r="726" spans="1:35" x14ac:dyDescent="0.35">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row>
    <row r="727" spans="1:35" x14ac:dyDescent="0.35">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row>
    <row r="728" spans="1:35" x14ac:dyDescent="0.35">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row>
    <row r="729" spans="1:35" x14ac:dyDescent="0.35">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row>
    <row r="730" spans="1:35" x14ac:dyDescent="0.35">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row>
    <row r="731" spans="1:35" x14ac:dyDescent="0.35">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row>
    <row r="732" spans="1:35" x14ac:dyDescent="0.35">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row>
    <row r="733" spans="1:35" x14ac:dyDescent="0.35">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row>
    <row r="734" spans="1:35" x14ac:dyDescent="0.35">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row>
    <row r="735" spans="1:35" x14ac:dyDescent="0.35">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row>
    <row r="736" spans="1:35" x14ac:dyDescent="0.35">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row>
    <row r="737" spans="1:35" x14ac:dyDescent="0.35">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row>
    <row r="738" spans="1:35" x14ac:dyDescent="0.35">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row>
    <row r="739" spans="1:35" x14ac:dyDescent="0.35">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row>
    <row r="740" spans="1:35" x14ac:dyDescent="0.35">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row>
    <row r="741" spans="1:35" x14ac:dyDescent="0.35">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row>
    <row r="742" spans="1:35" x14ac:dyDescent="0.35">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row>
    <row r="743" spans="1:35" x14ac:dyDescent="0.35">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row>
    <row r="744" spans="1:35" x14ac:dyDescent="0.35">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row>
    <row r="745" spans="1:35" x14ac:dyDescent="0.35">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row>
    <row r="746" spans="1:35" x14ac:dyDescent="0.35">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row>
    <row r="747" spans="1:35" x14ac:dyDescent="0.35">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row>
    <row r="748" spans="1:35" x14ac:dyDescent="0.35">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row>
    <row r="749" spans="1:35" x14ac:dyDescent="0.35">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row>
    <row r="750" spans="1:35" x14ac:dyDescent="0.35">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row>
    <row r="751" spans="1:35" x14ac:dyDescent="0.35">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row>
    <row r="752" spans="1:35" x14ac:dyDescent="0.35">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row>
    <row r="753" spans="1:35" x14ac:dyDescent="0.35">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row>
    <row r="754" spans="1:35" x14ac:dyDescent="0.35">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row>
    <row r="755" spans="1:35" x14ac:dyDescent="0.35">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row>
    <row r="756" spans="1:35" x14ac:dyDescent="0.35">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row>
    <row r="757" spans="1:35" x14ac:dyDescent="0.35">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row>
    <row r="758" spans="1:35" x14ac:dyDescent="0.35">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row>
    <row r="759" spans="1:35" x14ac:dyDescent="0.35">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row>
    <row r="760" spans="1:35" x14ac:dyDescent="0.35">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row>
    <row r="761" spans="1:35" x14ac:dyDescent="0.35">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row>
    <row r="762" spans="1:35" x14ac:dyDescent="0.35">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row>
    <row r="763" spans="1:35" x14ac:dyDescent="0.35">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row>
    <row r="764" spans="1:35" x14ac:dyDescent="0.35">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row>
    <row r="765" spans="1:35" x14ac:dyDescent="0.35">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row>
    <row r="766" spans="1:35" x14ac:dyDescent="0.35">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row>
    <row r="767" spans="1:35" x14ac:dyDescent="0.35">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row>
    <row r="768" spans="1:35" x14ac:dyDescent="0.35">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row>
    <row r="769" spans="1:35" x14ac:dyDescent="0.35">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row>
    <row r="770" spans="1:35" x14ac:dyDescent="0.35">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row>
    <row r="771" spans="1:35" x14ac:dyDescent="0.35">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row>
    <row r="772" spans="1:35" x14ac:dyDescent="0.35">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row>
    <row r="773" spans="1:35" x14ac:dyDescent="0.35">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row>
    <row r="774" spans="1:35" x14ac:dyDescent="0.35">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row>
    <row r="775" spans="1:35" x14ac:dyDescent="0.35">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row>
    <row r="776" spans="1:35" x14ac:dyDescent="0.35">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row>
    <row r="777" spans="1:35" x14ac:dyDescent="0.35">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row>
    <row r="778" spans="1:35" x14ac:dyDescent="0.35">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row>
    <row r="779" spans="1:35" x14ac:dyDescent="0.35">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row>
    <row r="780" spans="1:35" x14ac:dyDescent="0.35">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row>
    <row r="781" spans="1:35" x14ac:dyDescent="0.35">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row>
    <row r="782" spans="1:35" x14ac:dyDescent="0.35">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row>
    <row r="783" spans="1:35" x14ac:dyDescent="0.35">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row>
    <row r="784" spans="1:35" x14ac:dyDescent="0.35">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row>
    <row r="785" spans="1:35" x14ac:dyDescent="0.35">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row>
    <row r="786" spans="1:35" x14ac:dyDescent="0.35">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row>
    <row r="787" spans="1:35" x14ac:dyDescent="0.35">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row>
    <row r="788" spans="1:35" x14ac:dyDescent="0.35">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row>
    <row r="789" spans="1:35" x14ac:dyDescent="0.35">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row>
    <row r="790" spans="1:35" x14ac:dyDescent="0.35">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row>
    <row r="791" spans="1:35" x14ac:dyDescent="0.35">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row>
    <row r="792" spans="1:35" x14ac:dyDescent="0.35">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row>
    <row r="793" spans="1:35" x14ac:dyDescent="0.35">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row>
    <row r="794" spans="1:35" x14ac:dyDescent="0.35">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row>
    <row r="795" spans="1:35" x14ac:dyDescent="0.35">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row>
    <row r="796" spans="1:35" x14ac:dyDescent="0.35">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row>
    <row r="797" spans="1:35" x14ac:dyDescent="0.35">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row>
    <row r="798" spans="1:35" x14ac:dyDescent="0.35">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row>
    <row r="799" spans="1:35" x14ac:dyDescent="0.35">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row>
    <row r="800" spans="1:35" x14ac:dyDescent="0.35">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row>
    <row r="801" spans="1:35" x14ac:dyDescent="0.35">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row>
    <row r="802" spans="1:35" x14ac:dyDescent="0.35">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row>
    <row r="803" spans="1:35" x14ac:dyDescent="0.35">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row>
    <row r="804" spans="1:35" x14ac:dyDescent="0.35">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row>
    <row r="805" spans="1:35" x14ac:dyDescent="0.35">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row>
    <row r="806" spans="1:35" x14ac:dyDescent="0.35">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row>
    <row r="807" spans="1:35" x14ac:dyDescent="0.35">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row>
    <row r="808" spans="1:35" x14ac:dyDescent="0.35">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row>
    <row r="809" spans="1:35" x14ac:dyDescent="0.35">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row>
    <row r="810" spans="1:35" x14ac:dyDescent="0.35">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row>
    <row r="811" spans="1:35" x14ac:dyDescent="0.35">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row>
    <row r="812" spans="1:35" x14ac:dyDescent="0.35">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row>
    <row r="813" spans="1:35" x14ac:dyDescent="0.35">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row>
    <row r="814" spans="1:35" x14ac:dyDescent="0.35">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row>
    <row r="815" spans="1:35" x14ac:dyDescent="0.35">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row>
    <row r="816" spans="1:35" x14ac:dyDescent="0.35">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row>
    <row r="817" spans="1:35" x14ac:dyDescent="0.35">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row>
    <row r="818" spans="1:35" x14ac:dyDescent="0.35">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row>
    <row r="819" spans="1:35" x14ac:dyDescent="0.35">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row>
    <row r="820" spans="1:35" x14ac:dyDescent="0.35">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row>
    <row r="821" spans="1:35" x14ac:dyDescent="0.35">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row>
    <row r="822" spans="1:35" x14ac:dyDescent="0.35">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row>
    <row r="823" spans="1:35" x14ac:dyDescent="0.35">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row>
    <row r="824" spans="1:35" x14ac:dyDescent="0.35">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row>
    <row r="825" spans="1:35" x14ac:dyDescent="0.35">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row>
    <row r="826" spans="1:35" x14ac:dyDescent="0.35">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row>
    <row r="827" spans="1:35" x14ac:dyDescent="0.35">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row>
    <row r="828" spans="1:35" x14ac:dyDescent="0.35">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row>
    <row r="829" spans="1:35" x14ac:dyDescent="0.35">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row>
    <row r="830" spans="1:35" x14ac:dyDescent="0.35">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row>
    <row r="831" spans="1:35" x14ac:dyDescent="0.35">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row>
    <row r="832" spans="1:35" x14ac:dyDescent="0.35">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row>
    <row r="833" spans="1:35" x14ac:dyDescent="0.35">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row>
    <row r="834" spans="1:35" x14ac:dyDescent="0.35">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row>
    <row r="835" spans="1:35" x14ac:dyDescent="0.35">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row>
    <row r="836" spans="1:35" x14ac:dyDescent="0.35">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row>
    <row r="837" spans="1:35" x14ac:dyDescent="0.35">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row>
    <row r="838" spans="1:35" x14ac:dyDescent="0.35">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row>
    <row r="839" spans="1:35" x14ac:dyDescent="0.35">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row>
    <row r="840" spans="1:35" x14ac:dyDescent="0.35">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row>
    <row r="841" spans="1:35" x14ac:dyDescent="0.35">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row>
    <row r="842" spans="1:35" x14ac:dyDescent="0.35">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row>
    <row r="843" spans="1:35" x14ac:dyDescent="0.35">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row>
    <row r="844" spans="1:35" x14ac:dyDescent="0.35">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row>
    <row r="845" spans="1:35" x14ac:dyDescent="0.35">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row>
    <row r="846" spans="1:35" x14ac:dyDescent="0.35">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row>
    <row r="847" spans="1:35" x14ac:dyDescent="0.35">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row>
    <row r="848" spans="1:35" x14ac:dyDescent="0.35">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row>
    <row r="849" spans="1:35" x14ac:dyDescent="0.35">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row>
    <row r="850" spans="1:35" x14ac:dyDescent="0.35">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row>
    <row r="851" spans="1:35" x14ac:dyDescent="0.35">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row>
    <row r="852" spans="1:35" x14ac:dyDescent="0.35">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row>
    <row r="853" spans="1:35" x14ac:dyDescent="0.35">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row>
    <row r="854" spans="1:35" x14ac:dyDescent="0.35">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row>
    <row r="855" spans="1:35" x14ac:dyDescent="0.35">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row>
    <row r="856" spans="1:35" x14ac:dyDescent="0.35">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row>
    <row r="857" spans="1:35" x14ac:dyDescent="0.35">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row>
    <row r="858" spans="1:35" x14ac:dyDescent="0.35">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row>
    <row r="859" spans="1:35" x14ac:dyDescent="0.35">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row>
    <row r="860" spans="1:35" x14ac:dyDescent="0.35">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row>
    <row r="861" spans="1:35" x14ac:dyDescent="0.35">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row>
    <row r="862" spans="1:35" x14ac:dyDescent="0.35">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row>
    <row r="863" spans="1:35" x14ac:dyDescent="0.35">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row>
    <row r="864" spans="1:35" x14ac:dyDescent="0.35">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row>
    <row r="865" spans="1:35" x14ac:dyDescent="0.35">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row>
    <row r="866" spans="1:35" x14ac:dyDescent="0.35">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row>
    <row r="867" spans="1:35" x14ac:dyDescent="0.35">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row>
    <row r="868" spans="1:35" x14ac:dyDescent="0.35">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row>
    <row r="869" spans="1:35" x14ac:dyDescent="0.35">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row>
    <row r="870" spans="1:35" x14ac:dyDescent="0.35">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row>
    <row r="871" spans="1:35" x14ac:dyDescent="0.35">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row>
    <row r="872" spans="1:35" x14ac:dyDescent="0.35">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row>
    <row r="873" spans="1:35" x14ac:dyDescent="0.35">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row>
    <row r="874" spans="1:35" x14ac:dyDescent="0.35">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row>
    <row r="875" spans="1:35" x14ac:dyDescent="0.35">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row>
    <row r="876" spans="1:35" x14ac:dyDescent="0.35">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row>
    <row r="877" spans="1:35" x14ac:dyDescent="0.35">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row>
    <row r="878" spans="1:35" x14ac:dyDescent="0.35">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row>
    <row r="879" spans="1:35" x14ac:dyDescent="0.35">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row>
    <row r="880" spans="1:35" x14ac:dyDescent="0.35">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row>
    <row r="881" spans="1:35" x14ac:dyDescent="0.35">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row>
    <row r="882" spans="1:35" x14ac:dyDescent="0.35">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row>
    <row r="883" spans="1:35" x14ac:dyDescent="0.35">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row>
    <row r="884" spans="1:35" x14ac:dyDescent="0.35">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row>
    <row r="885" spans="1:35" x14ac:dyDescent="0.35">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row>
    <row r="886" spans="1:35" x14ac:dyDescent="0.35">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row>
    <row r="887" spans="1:35" x14ac:dyDescent="0.35">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row>
    <row r="888" spans="1:35" x14ac:dyDescent="0.35">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row>
    <row r="889" spans="1:35" x14ac:dyDescent="0.35">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row>
    <row r="890" spans="1:35" x14ac:dyDescent="0.35">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row>
    <row r="891" spans="1:35" x14ac:dyDescent="0.35">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row>
    <row r="892" spans="1:35" x14ac:dyDescent="0.35">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row>
    <row r="893" spans="1:35" x14ac:dyDescent="0.35">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row>
    <row r="894" spans="1:35" x14ac:dyDescent="0.35">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row>
    <row r="895" spans="1:35" x14ac:dyDescent="0.35">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row>
    <row r="896" spans="1:35" x14ac:dyDescent="0.35">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row>
    <row r="897" spans="1:35" x14ac:dyDescent="0.35">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row>
    <row r="898" spans="1:35" x14ac:dyDescent="0.35">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row>
    <row r="899" spans="1:35" x14ac:dyDescent="0.35">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row>
    <row r="900" spans="1:35" x14ac:dyDescent="0.35">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row>
    <row r="901" spans="1:35" x14ac:dyDescent="0.35">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row>
    <row r="902" spans="1:35" x14ac:dyDescent="0.35">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row>
    <row r="903" spans="1:35" x14ac:dyDescent="0.35">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row>
    <row r="904" spans="1:35" x14ac:dyDescent="0.35">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row>
    <row r="905" spans="1:35" x14ac:dyDescent="0.35">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row>
    <row r="906" spans="1:35" x14ac:dyDescent="0.35">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row>
    <row r="907" spans="1:35" x14ac:dyDescent="0.35">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row>
    <row r="908" spans="1:35" x14ac:dyDescent="0.35">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row>
    <row r="909" spans="1:35" x14ac:dyDescent="0.35">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row>
    <row r="910" spans="1:35" x14ac:dyDescent="0.35">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row>
    <row r="911" spans="1:35" x14ac:dyDescent="0.35">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row>
    <row r="912" spans="1:35" x14ac:dyDescent="0.35">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row>
    <row r="913" spans="1:35" x14ac:dyDescent="0.35">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row>
    <row r="914" spans="1:35" x14ac:dyDescent="0.35">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row>
    <row r="915" spans="1:35" x14ac:dyDescent="0.35">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row>
    <row r="916" spans="1:35" x14ac:dyDescent="0.35">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row>
    <row r="917" spans="1:35" x14ac:dyDescent="0.35">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row>
    <row r="918" spans="1:35" x14ac:dyDescent="0.35">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row>
    <row r="919" spans="1:35" x14ac:dyDescent="0.35">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row>
    <row r="920" spans="1:35" x14ac:dyDescent="0.35">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row>
    <row r="921" spans="1:35" x14ac:dyDescent="0.35">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row>
    <row r="922" spans="1:35" x14ac:dyDescent="0.35">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row>
    <row r="923" spans="1:35" x14ac:dyDescent="0.35">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row>
    <row r="924" spans="1:35" x14ac:dyDescent="0.35">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row>
    <row r="925" spans="1:35" x14ac:dyDescent="0.35">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row>
    <row r="926" spans="1:35" x14ac:dyDescent="0.35">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row>
    <row r="927" spans="1:35" x14ac:dyDescent="0.35">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row>
    <row r="928" spans="1:35" x14ac:dyDescent="0.35">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row>
    <row r="929" spans="1:35" x14ac:dyDescent="0.35">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row>
    <row r="930" spans="1:35" x14ac:dyDescent="0.35">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row>
    <row r="931" spans="1:35" x14ac:dyDescent="0.35">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row>
    <row r="932" spans="1:35" x14ac:dyDescent="0.35">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row>
    <row r="933" spans="1:35" x14ac:dyDescent="0.35">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row>
    <row r="934" spans="1:35" x14ac:dyDescent="0.35">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row>
    <row r="935" spans="1:35" x14ac:dyDescent="0.35">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row>
    <row r="936" spans="1:35" x14ac:dyDescent="0.35">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row>
    <row r="937" spans="1:35" x14ac:dyDescent="0.35">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row>
    <row r="938" spans="1:35" x14ac:dyDescent="0.35">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row>
    <row r="939" spans="1:35" x14ac:dyDescent="0.35">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row>
    <row r="940" spans="1:35" x14ac:dyDescent="0.35">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row>
    <row r="941" spans="1:35" x14ac:dyDescent="0.35">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row>
    <row r="942" spans="1:35" x14ac:dyDescent="0.35">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row>
    <row r="943" spans="1:35" x14ac:dyDescent="0.35">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row>
    <row r="944" spans="1:35" x14ac:dyDescent="0.35">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row>
    <row r="945" spans="1:35" x14ac:dyDescent="0.35">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row>
    <row r="946" spans="1:35" x14ac:dyDescent="0.35">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row>
    <row r="947" spans="1:35" x14ac:dyDescent="0.35">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row>
    <row r="948" spans="1:35" x14ac:dyDescent="0.35">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row>
    <row r="949" spans="1:35" x14ac:dyDescent="0.35">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row>
    <row r="950" spans="1:35" x14ac:dyDescent="0.35">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row>
    <row r="951" spans="1:35" x14ac:dyDescent="0.35">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row>
    <row r="952" spans="1:35" x14ac:dyDescent="0.35">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row>
    <row r="953" spans="1:35" x14ac:dyDescent="0.35">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row>
    <row r="954" spans="1:35" x14ac:dyDescent="0.35">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row>
    <row r="955" spans="1:35" x14ac:dyDescent="0.35">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row>
    <row r="956" spans="1:35" x14ac:dyDescent="0.35">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row>
    <row r="957" spans="1:35" x14ac:dyDescent="0.35">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row>
    <row r="958" spans="1:35" x14ac:dyDescent="0.35">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row>
    <row r="959" spans="1:35" x14ac:dyDescent="0.35">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row>
    <row r="960" spans="1:35" x14ac:dyDescent="0.35">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row>
    <row r="961" spans="1:35" x14ac:dyDescent="0.35">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row>
    <row r="962" spans="1:35" x14ac:dyDescent="0.35">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row>
    <row r="963" spans="1:35" x14ac:dyDescent="0.35">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row>
    <row r="964" spans="1:35" x14ac:dyDescent="0.35">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row>
    <row r="965" spans="1:35" x14ac:dyDescent="0.35">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row>
    <row r="966" spans="1:35" x14ac:dyDescent="0.35">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row>
    <row r="967" spans="1:35" x14ac:dyDescent="0.35">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row>
    <row r="968" spans="1:35" x14ac:dyDescent="0.35">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row>
    <row r="969" spans="1:35" x14ac:dyDescent="0.35">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row>
    <row r="970" spans="1:35" x14ac:dyDescent="0.35">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row>
    <row r="971" spans="1:35" x14ac:dyDescent="0.35">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row>
    <row r="972" spans="1:35" x14ac:dyDescent="0.35">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row>
    <row r="973" spans="1:35" x14ac:dyDescent="0.35">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row>
    <row r="974" spans="1:35" x14ac:dyDescent="0.35">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row>
    <row r="975" spans="1:35" x14ac:dyDescent="0.35">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row>
    <row r="976" spans="1:35" x14ac:dyDescent="0.35">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row>
    <row r="977" spans="1:35" x14ac:dyDescent="0.35">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row>
    <row r="978" spans="1:35" x14ac:dyDescent="0.35">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row>
    <row r="979" spans="1:35" x14ac:dyDescent="0.35">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row>
    <row r="980" spans="1:35" x14ac:dyDescent="0.35">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row>
    <row r="981" spans="1:35" x14ac:dyDescent="0.35">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row>
    <row r="982" spans="1:35" x14ac:dyDescent="0.35">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row>
    <row r="983" spans="1:35" x14ac:dyDescent="0.35">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row>
    <row r="984" spans="1:35" x14ac:dyDescent="0.35">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row>
    <row r="985" spans="1:35" x14ac:dyDescent="0.35">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row>
    <row r="986" spans="1:35" x14ac:dyDescent="0.35">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row>
    <row r="987" spans="1:35" x14ac:dyDescent="0.35">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row>
    <row r="988" spans="1:35" x14ac:dyDescent="0.35">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row>
    <row r="989" spans="1:35" x14ac:dyDescent="0.35">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row>
    <row r="990" spans="1:35" x14ac:dyDescent="0.35">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row>
    <row r="991" spans="1:35" x14ac:dyDescent="0.35">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row>
    <row r="992" spans="1:35" x14ac:dyDescent="0.35">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row>
    <row r="993" spans="1:35" x14ac:dyDescent="0.35">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row>
    <row r="994" spans="1:35" x14ac:dyDescent="0.35">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row>
    <row r="995" spans="1:35" x14ac:dyDescent="0.35">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row>
    <row r="996" spans="1:35" x14ac:dyDescent="0.35">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row>
    <row r="997" spans="1:35" x14ac:dyDescent="0.35">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row>
    <row r="998" spans="1:35" x14ac:dyDescent="0.35">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row>
    <row r="999" spans="1:35" x14ac:dyDescent="0.35">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row>
    <row r="1000" spans="1:35" x14ac:dyDescent="0.35">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row>
    <row r="1001" spans="1:35" x14ac:dyDescent="0.35">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row>
    <row r="1002" spans="1:35" x14ac:dyDescent="0.35">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row>
    <row r="1003" spans="1:35" x14ac:dyDescent="0.35">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row>
    <row r="1004" spans="1:35" x14ac:dyDescent="0.35">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row>
    <row r="1005" spans="1:35" x14ac:dyDescent="0.35">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row>
    <row r="1006" spans="1:35" x14ac:dyDescent="0.35">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row>
    <row r="1007" spans="1:35" x14ac:dyDescent="0.35">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row>
    <row r="1008" spans="1:35" x14ac:dyDescent="0.35">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row>
    <row r="1009" spans="1:35" x14ac:dyDescent="0.35">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row>
    <row r="1010" spans="1:35" x14ac:dyDescent="0.35">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row>
    <row r="1011" spans="1:35" x14ac:dyDescent="0.35">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row>
    <row r="1012" spans="1:35" x14ac:dyDescent="0.35">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row>
    <row r="1013" spans="1:35" x14ac:dyDescent="0.35">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row>
    <row r="1014" spans="1:35" x14ac:dyDescent="0.35">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row>
    <row r="1015" spans="1:35" x14ac:dyDescent="0.35">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row>
    <row r="1016" spans="1:35" x14ac:dyDescent="0.35">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row>
    <row r="1017" spans="1:35" x14ac:dyDescent="0.35">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row>
    <row r="1018" spans="1:35" x14ac:dyDescent="0.35">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row>
    <row r="1019" spans="1:35" x14ac:dyDescent="0.35">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row>
    <row r="1020" spans="1:35" x14ac:dyDescent="0.35">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row>
    <row r="1021" spans="1:35" x14ac:dyDescent="0.35">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row>
    <row r="1022" spans="1:35" x14ac:dyDescent="0.35">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row>
    <row r="1023" spans="1:35" x14ac:dyDescent="0.35">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row>
    <row r="1024" spans="1:35" x14ac:dyDescent="0.35">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row>
    <row r="1025" spans="1:35" x14ac:dyDescent="0.35">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row>
    <row r="1026" spans="1:35" x14ac:dyDescent="0.35">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row>
    <row r="1027" spans="1:35" x14ac:dyDescent="0.35">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row>
    <row r="1028" spans="1:35" x14ac:dyDescent="0.35">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row>
    <row r="1029" spans="1:35" x14ac:dyDescent="0.35">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row>
    <row r="1030" spans="1:35" x14ac:dyDescent="0.35">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row>
    <row r="1031" spans="1:35" x14ac:dyDescent="0.35">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row>
    <row r="1032" spans="1:35" x14ac:dyDescent="0.35">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row>
    <row r="1033" spans="1:35" x14ac:dyDescent="0.35">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row>
    <row r="1034" spans="1:35" x14ac:dyDescent="0.35">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row>
    <row r="1035" spans="1:35" x14ac:dyDescent="0.35">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row>
    <row r="1036" spans="1:35" x14ac:dyDescent="0.35">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row>
    <row r="1037" spans="1:35" x14ac:dyDescent="0.35">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row>
    <row r="1038" spans="1:35" x14ac:dyDescent="0.35">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row>
    <row r="1039" spans="1:35" x14ac:dyDescent="0.35">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row>
    <row r="1040" spans="1:35" x14ac:dyDescent="0.35">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row>
    <row r="1041" spans="1:35" x14ac:dyDescent="0.35">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row>
    <row r="1042" spans="1:35" x14ac:dyDescent="0.35">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row>
    <row r="1043" spans="1:35" x14ac:dyDescent="0.35">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row>
    <row r="1044" spans="1:35" x14ac:dyDescent="0.35">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row>
    <row r="1045" spans="1:35" x14ac:dyDescent="0.35">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row>
    <row r="1046" spans="1:35" x14ac:dyDescent="0.35">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row>
    <row r="1047" spans="1:35" x14ac:dyDescent="0.35">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row>
    <row r="1048" spans="1:35" x14ac:dyDescent="0.35">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row>
    <row r="1049" spans="1:35" x14ac:dyDescent="0.35">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row>
    <row r="1050" spans="1:35" x14ac:dyDescent="0.35">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row>
    <row r="1051" spans="1:35" x14ac:dyDescent="0.35">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row>
    <row r="1052" spans="1:35" x14ac:dyDescent="0.35">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row>
    <row r="1053" spans="1:35" x14ac:dyDescent="0.35">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row>
    <row r="1054" spans="1:35" x14ac:dyDescent="0.35">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row>
    <row r="1055" spans="1:35" x14ac:dyDescent="0.35">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row>
    <row r="1056" spans="1:35" x14ac:dyDescent="0.35">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row>
    <row r="1057" spans="1:35" x14ac:dyDescent="0.35">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row>
    <row r="1058" spans="1:35" x14ac:dyDescent="0.35">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row>
    <row r="1059" spans="1:35" x14ac:dyDescent="0.35">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row>
    <row r="1060" spans="1:35" x14ac:dyDescent="0.35">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row>
    <row r="1061" spans="1:35" x14ac:dyDescent="0.35">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row>
    <row r="1062" spans="1:35" x14ac:dyDescent="0.35">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row>
    <row r="1063" spans="1:35" x14ac:dyDescent="0.35">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row>
    <row r="1064" spans="1:35" x14ac:dyDescent="0.35">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row>
    <row r="1065" spans="1:35" x14ac:dyDescent="0.35">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row>
    <row r="1066" spans="1:35" x14ac:dyDescent="0.35">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row>
    <row r="1067" spans="1:35" x14ac:dyDescent="0.35">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row>
    <row r="1068" spans="1:35" x14ac:dyDescent="0.35">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row>
    <row r="1069" spans="1:35" x14ac:dyDescent="0.35">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row>
    <row r="1070" spans="1:35" x14ac:dyDescent="0.35">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row>
    <row r="1071" spans="1:35" x14ac:dyDescent="0.35">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row>
    <row r="1072" spans="1:35" x14ac:dyDescent="0.35">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row>
    <row r="1073" spans="1:35" x14ac:dyDescent="0.35">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row>
    <row r="1074" spans="1:35" x14ac:dyDescent="0.35">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row>
    <row r="1075" spans="1:35" x14ac:dyDescent="0.35">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row>
    <row r="1076" spans="1:35" x14ac:dyDescent="0.35">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row>
    <row r="1077" spans="1:35" x14ac:dyDescent="0.35">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row>
    <row r="1078" spans="1:35" x14ac:dyDescent="0.35">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row>
    <row r="1079" spans="1:35" x14ac:dyDescent="0.35">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row>
    <row r="1080" spans="1:35" x14ac:dyDescent="0.35">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row>
    <row r="1081" spans="1:35" x14ac:dyDescent="0.35">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row>
    <row r="1082" spans="1:35" x14ac:dyDescent="0.35">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row>
    <row r="1083" spans="1:35" x14ac:dyDescent="0.35">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row>
    <row r="1084" spans="1:35" x14ac:dyDescent="0.35">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row>
    <row r="1085" spans="1:35" x14ac:dyDescent="0.35">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row>
    <row r="1086" spans="1:35" x14ac:dyDescent="0.35">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row>
    <row r="1087" spans="1:35" x14ac:dyDescent="0.35">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row>
    <row r="1088" spans="1:35" x14ac:dyDescent="0.35">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row>
    <row r="1089" spans="1:35" x14ac:dyDescent="0.35">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row>
    <row r="1090" spans="1:35" x14ac:dyDescent="0.35">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row>
    <row r="1091" spans="1:35" x14ac:dyDescent="0.35">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row>
    <row r="1092" spans="1:35" x14ac:dyDescent="0.35">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row>
    <row r="1093" spans="1:35" x14ac:dyDescent="0.35">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row>
    <row r="1094" spans="1:35" x14ac:dyDescent="0.35">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row>
    <row r="1095" spans="1:35" x14ac:dyDescent="0.35">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row>
    <row r="1096" spans="1:35" x14ac:dyDescent="0.35">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row>
    <row r="1097" spans="1:35" x14ac:dyDescent="0.35">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row>
    <row r="1098" spans="1:35" x14ac:dyDescent="0.35">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row>
    <row r="1099" spans="1:35" x14ac:dyDescent="0.35">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row>
    <row r="1100" spans="1:35" x14ac:dyDescent="0.35">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row>
    <row r="1101" spans="1:35" x14ac:dyDescent="0.35">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row>
    <row r="1102" spans="1:35" x14ac:dyDescent="0.35">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row>
    <row r="1103" spans="1:35" x14ac:dyDescent="0.35">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row>
    <row r="1104" spans="1:35" x14ac:dyDescent="0.35">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row>
    <row r="1105" spans="1:35" x14ac:dyDescent="0.35">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row>
    <row r="1106" spans="1:35" x14ac:dyDescent="0.35">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row>
    <row r="1107" spans="1:35" x14ac:dyDescent="0.35">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row>
    <row r="1108" spans="1:35" x14ac:dyDescent="0.35">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row>
    <row r="1109" spans="1:35" x14ac:dyDescent="0.35">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row>
    <row r="1110" spans="1:35" x14ac:dyDescent="0.35">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row>
    <row r="1111" spans="1:35" x14ac:dyDescent="0.35">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row>
    <row r="1112" spans="1:35" x14ac:dyDescent="0.35">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row>
    <row r="1113" spans="1:35" x14ac:dyDescent="0.35">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row>
    <row r="1114" spans="1:35" x14ac:dyDescent="0.35">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row>
    <row r="1115" spans="1:35" x14ac:dyDescent="0.35">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row>
    <row r="1116" spans="1:35" x14ac:dyDescent="0.35">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row>
    <row r="1117" spans="1:35" x14ac:dyDescent="0.35">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row>
    <row r="1118" spans="1:35" x14ac:dyDescent="0.35">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row>
    <row r="1119" spans="1:35" x14ac:dyDescent="0.35">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row>
    <row r="1120" spans="1:35" x14ac:dyDescent="0.35">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row>
    <row r="1121" spans="1:35" x14ac:dyDescent="0.35">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row>
    <row r="1122" spans="1:35" x14ac:dyDescent="0.35">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row>
    <row r="1123" spans="1:35" x14ac:dyDescent="0.35">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row>
    <row r="1124" spans="1:35" x14ac:dyDescent="0.35">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row>
    <row r="1125" spans="1:35" x14ac:dyDescent="0.35">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row>
    <row r="1126" spans="1:35" x14ac:dyDescent="0.35">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row>
    <row r="1127" spans="1:35" x14ac:dyDescent="0.35">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row>
    <row r="1128" spans="1:35" x14ac:dyDescent="0.35">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row>
    <row r="1129" spans="1:35" x14ac:dyDescent="0.35">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row>
    <row r="1130" spans="1:35" x14ac:dyDescent="0.35">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row>
    <row r="1131" spans="1:35" x14ac:dyDescent="0.35">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row>
    <row r="1132" spans="1:35" x14ac:dyDescent="0.35">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row>
    <row r="1133" spans="1:35" x14ac:dyDescent="0.35">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row>
    <row r="1134" spans="1:35" x14ac:dyDescent="0.35">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row>
    <row r="1135" spans="1:35" x14ac:dyDescent="0.35">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row>
    <row r="1136" spans="1:35" x14ac:dyDescent="0.35">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row>
    <row r="1137" spans="1:35" x14ac:dyDescent="0.35">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row>
    <row r="1138" spans="1:35" x14ac:dyDescent="0.35">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row>
    <row r="1139" spans="1:35" x14ac:dyDescent="0.35">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row>
    <row r="1140" spans="1:35" x14ac:dyDescent="0.35">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row>
    <row r="1141" spans="1:35" x14ac:dyDescent="0.35">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row>
    <row r="1142" spans="1:35" x14ac:dyDescent="0.35">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row>
    <row r="1143" spans="1:35" x14ac:dyDescent="0.35">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row>
    <row r="1144" spans="1:35" x14ac:dyDescent="0.35">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row>
    <row r="1145" spans="1:35" x14ac:dyDescent="0.35">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row>
    <row r="1146" spans="1:35" x14ac:dyDescent="0.35">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row>
    <row r="1147" spans="1:35" x14ac:dyDescent="0.35">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row>
    <row r="1148" spans="1:35" x14ac:dyDescent="0.35">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row>
    <row r="1149" spans="1:35" x14ac:dyDescent="0.35">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row>
    <row r="1150" spans="1:35" x14ac:dyDescent="0.35">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row>
    <row r="1151" spans="1:35" x14ac:dyDescent="0.35">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row>
    <row r="1152" spans="1:35" x14ac:dyDescent="0.35">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row>
    <row r="1153" spans="1:35" x14ac:dyDescent="0.35">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row>
    <row r="1154" spans="1:35" x14ac:dyDescent="0.35">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row>
    <row r="1155" spans="1:35" x14ac:dyDescent="0.35">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row>
    <row r="1156" spans="1:35" x14ac:dyDescent="0.35">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row>
    <row r="1157" spans="1:35" x14ac:dyDescent="0.35">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row>
    <row r="1158" spans="1:35" x14ac:dyDescent="0.35">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row>
    <row r="1159" spans="1:35" x14ac:dyDescent="0.35">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row>
    <row r="1160" spans="1:35" x14ac:dyDescent="0.35">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row>
    <row r="1161" spans="1:35" x14ac:dyDescent="0.35">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row>
    <row r="1162" spans="1:35" x14ac:dyDescent="0.35">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row>
    <row r="1163" spans="1:35" x14ac:dyDescent="0.35">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row>
    <row r="1164" spans="1:35" x14ac:dyDescent="0.35">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row>
    <row r="1165" spans="1:35" x14ac:dyDescent="0.35">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row>
    <row r="1166" spans="1:35" x14ac:dyDescent="0.35">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row>
    <row r="1167" spans="1:35" x14ac:dyDescent="0.35">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row>
    <row r="1168" spans="1:35" x14ac:dyDescent="0.35">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row>
    <row r="1169" spans="1:35" x14ac:dyDescent="0.35">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row>
    <row r="1170" spans="1:35" x14ac:dyDescent="0.35">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row>
    <row r="1171" spans="1:35" x14ac:dyDescent="0.35">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row>
    <row r="1172" spans="1:35" x14ac:dyDescent="0.35">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row>
    <row r="1173" spans="1:35" x14ac:dyDescent="0.35">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row>
    <row r="1174" spans="1:35" x14ac:dyDescent="0.35">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row>
    <row r="1175" spans="1:35" x14ac:dyDescent="0.35">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row>
    <row r="1176" spans="1:35" x14ac:dyDescent="0.35">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row>
    <row r="1177" spans="1:35" x14ac:dyDescent="0.35">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row>
    <row r="1178" spans="1:35" x14ac:dyDescent="0.35">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row>
    <row r="1179" spans="1:35" x14ac:dyDescent="0.35">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row>
    <row r="1180" spans="1:35" x14ac:dyDescent="0.35">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row>
    <row r="1181" spans="1:35" x14ac:dyDescent="0.35">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row>
    <row r="1182" spans="1:35" x14ac:dyDescent="0.35">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row>
    <row r="1183" spans="1:35" x14ac:dyDescent="0.35">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row>
    <row r="1184" spans="1:35" x14ac:dyDescent="0.35">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row>
    <row r="1185" spans="1:35" x14ac:dyDescent="0.35">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row>
    <row r="1186" spans="1:35" x14ac:dyDescent="0.35">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row>
    <row r="1187" spans="1:35" x14ac:dyDescent="0.35">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row>
    <row r="1188" spans="1:35" x14ac:dyDescent="0.35">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row>
    <row r="1189" spans="1:35" x14ac:dyDescent="0.35">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row>
    <row r="1190" spans="1:35" x14ac:dyDescent="0.35">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row>
    <row r="1191" spans="1:35" x14ac:dyDescent="0.35">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row>
    <row r="1192" spans="1:35" x14ac:dyDescent="0.35">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row>
    <row r="1193" spans="1:35" x14ac:dyDescent="0.35">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row>
    <row r="1194" spans="1:35" x14ac:dyDescent="0.35">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row>
    <row r="1195" spans="1:35" x14ac:dyDescent="0.35">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row>
    <row r="1196" spans="1:35" x14ac:dyDescent="0.35">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row>
    <row r="1197" spans="1:35" x14ac:dyDescent="0.35">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row>
    <row r="1198" spans="1:35" x14ac:dyDescent="0.35">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row>
    <row r="1199" spans="1:35" x14ac:dyDescent="0.35">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row>
    <row r="1200" spans="1:35" x14ac:dyDescent="0.35">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row>
    <row r="1201" spans="1:35" x14ac:dyDescent="0.35">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row>
    <row r="1202" spans="1:35" x14ac:dyDescent="0.35">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row>
    <row r="1203" spans="1:35" x14ac:dyDescent="0.35">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row>
    <row r="1204" spans="1:35" x14ac:dyDescent="0.35">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row>
    <row r="1205" spans="1:35" x14ac:dyDescent="0.35">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row>
    <row r="1206" spans="1:35" x14ac:dyDescent="0.35">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row>
    <row r="1207" spans="1:35" x14ac:dyDescent="0.35">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row>
    <row r="1208" spans="1:35" x14ac:dyDescent="0.35">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row>
    <row r="1209" spans="1:35" x14ac:dyDescent="0.35">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row>
    <row r="1210" spans="1:35" x14ac:dyDescent="0.35">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row>
    <row r="1211" spans="1:35" x14ac:dyDescent="0.35">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row>
    <row r="1212" spans="1:35" x14ac:dyDescent="0.35">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row>
    <row r="1213" spans="1:35" x14ac:dyDescent="0.35">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row>
    <row r="1214" spans="1:35" x14ac:dyDescent="0.35">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row>
    <row r="1215" spans="1:35" x14ac:dyDescent="0.35">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row>
    <row r="1216" spans="1:35" x14ac:dyDescent="0.35">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row>
    <row r="1217" spans="1:35" x14ac:dyDescent="0.35">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row>
    <row r="1218" spans="1:35" x14ac:dyDescent="0.35">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row>
    <row r="1219" spans="1:35" x14ac:dyDescent="0.35">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row>
    <row r="1220" spans="1:35" x14ac:dyDescent="0.35">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row>
    <row r="1221" spans="1:35" x14ac:dyDescent="0.35">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row>
    <row r="1222" spans="1:35" x14ac:dyDescent="0.35">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row>
    <row r="1223" spans="1:35" x14ac:dyDescent="0.35">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row>
    <row r="1224" spans="1:35" x14ac:dyDescent="0.35">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row>
    <row r="1225" spans="1:35" x14ac:dyDescent="0.35">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row>
    <row r="1226" spans="1:35" x14ac:dyDescent="0.35">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row>
    <row r="1227" spans="1:35" x14ac:dyDescent="0.35">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row>
    <row r="1228" spans="1:35" x14ac:dyDescent="0.35">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row>
    <row r="1229" spans="1:35" x14ac:dyDescent="0.35">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row>
    <row r="1230" spans="1:35" x14ac:dyDescent="0.35">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row>
    <row r="1231" spans="1:35" x14ac:dyDescent="0.35">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row>
    <row r="1232" spans="1:35" x14ac:dyDescent="0.35">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row>
    <row r="1233" spans="1:35" x14ac:dyDescent="0.35">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row>
    <row r="1234" spans="1:35" x14ac:dyDescent="0.35">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row>
    <row r="1235" spans="1:35" x14ac:dyDescent="0.35">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row>
    <row r="1236" spans="1:35" x14ac:dyDescent="0.35">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row>
    <row r="1237" spans="1:35" x14ac:dyDescent="0.35">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row>
    <row r="1238" spans="1:35" x14ac:dyDescent="0.35">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row>
    <row r="1239" spans="1:35" x14ac:dyDescent="0.35">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row>
    <row r="1240" spans="1:35" x14ac:dyDescent="0.35">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row>
    <row r="1241" spans="1:35" x14ac:dyDescent="0.35">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row>
    <row r="1242" spans="1:35" x14ac:dyDescent="0.35">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row>
    <row r="1243" spans="1:35" x14ac:dyDescent="0.35">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row>
    <row r="1244" spans="1:35" x14ac:dyDescent="0.35">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row>
    <row r="1245" spans="1:35" x14ac:dyDescent="0.35">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row>
    <row r="1246" spans="1:35" x14ac:dyDescent="0.35">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row>
    <row r="1247" spans="1:35" x14ac:dyDescent="0.35">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row>
    <row r="1248" spans="1:35" x14ac:dyDescent="0.35">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row>
    <row r="1249" spans="1:35" x14ac:dyDescent="0.35">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row>
    <row r="1250" spans="1:35" x14ac:dyDescent="0.35">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row>
    <row r="1251" spans="1:35" x14ac:dyDescent="0.35">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row>
    <row r="1252" spans="1:35" x14ac:dyDescent="0.35">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row>
    <row r="1253" spans="1:35" x14ac:dyDescent="0.35">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row>
    <row r="1254" spans="1:35" x14ac:dyDescent="0.35">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row>
    <row r="1255" spans="1:35" x14ac:dyDescent="0.35">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row>
    <row r="1256" spans="1:35" x14ac:dyDescent="0.35">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row>
    <row r="1257" spans="1:35" x14ac:dyDescent="0.35">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row>
    <row r="1258" spans="1:35" x14ac:dyDescent="0.35">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row>
    <row r="1259" spans="1:35" x14ac:dyDescent="0.35">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row>
    <row r="1260" spans="1:35" x14ac:dyDescent="0.35">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row>
    <row r="1261" spans="1:35" x14ac:dyDescent="0.35">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row>
    <row r="1262" spans="1:35" x14ac:dyDescent="0.35">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row>
    <row r="1263" spans="1:35" x14ac:dyDescent="0.35">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row>
    <row r="1264" spans="1:35" x14ac:dyDescent="0.35">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row>
    <row r="1265" spans="1:35" x14ac:dyDescent="0.35">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row>
    <row r="1266" spans="1:35" x14ac:dyDescent="0.35">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row>
    <row r="1267" spans="1:35" x14ac:dyDescent="0.35">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row>
    <row r="1268" spans="1:35" x14ac:dyDescent="0.35">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row>
    <row r="1269" spans="1:35" x14ac:dyDescent="0.35">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row>
    <row r="1270" spans="1:35" x14ac:dyDescent="0.35">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row>
    <row r="1271" spans="1:35" x14ac:dyDescent="0.35">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row>
    <row r="1272" spans="1:35" x14ac:dyDescent="0.35">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row>
    <row r="1273" spans="1:35" x14ac:dyDescent="0.35">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row>
    <row r="1274" spans="1:35" x14ac:dyDescent="0.35">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row>
    <row r="1275" spans="1:35" x14ac:dyDescent="0.35">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row>
    <row r="1276" spans="1:35" x14ac:dyDescent="0.35">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row>
    <row r="1277" spans="1:35" x14ac:dyDescent="0.35">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row>
    <row r="1278" spans="1:35" x14ac:dyDescent="0.35">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row>
    <row r="1279" spans="1:35" x14ac:dyDescent="0.35">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row>
    <row r="1280" spans="1:35" x14ac:dyDescent="0.35">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row>
    <row r="1281" spans="1:35" x14ac:dyDescent="0.35">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row>
    <row r="1282" spans="1:35" x14ac:dyDescent="0.35">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row>
    <row r="1283" spans="1:35" x14ac:dyDescent="0.35">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row>
    <row r="1284" spans="1:35" x14ac:dyDescent="0.35">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row>
    <row r="1285" spans="1:35" x14ac:dyDescent="0.35">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row>
    <row r="1286" spans="1:35" x14ac:dyDescent="0.35">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row>
    <row r="1287" spans="1:35" x14ac:dyDescent="0.35">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row>
    <row r="1288" spans="1:35" x14ac:dyDescent="0.35">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row>
    <row r="1289" spans="1:35" x14ac:dyDescent="0.35">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row>
    <row r="1290" spans="1:35" x14ac:dyDescent="0.35">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row>
    <row r="1291" spans="1:35" x14ac:dyDescent="0.35">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row>
    <row r="1292" spans="1:35" x14ac:dyDescent="0.35">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row>
    <row r="1293" spans="1:35" x14ac:dyDescent="0.35">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row>
    <row r="1294" spans="1:35" x14ac:dyDescent="0.35">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row>
    <row r="1295" spans="1:35" x14ac:dyDescent="0.35">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row>
    <row r="1296" spans="1:35" x14ac:dyDescent="0.35">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row>
    <row r="1297" spans="1:35" x14ac:dyDescent="0.35">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row>
    <row r="1298" spans="1:35" x14ac:dyDescent="0.35">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row>
    <row r="1299" spans="1:35" x14ac:dyDescent="0.35">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row>
    <row r="1300" spans="1:35" x14ac:dyDescent="0.35">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row>
    <row r="1301" spans="1:35" x14ac:dyDescent="0.35">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row>
    <row r="1302" spans="1:35" x14ac:dyDescent="0.35">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row>
    <row r="1303" spans="1:35" x14ac:dyDescent="0.35">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row>
    <row r="1304" spans="1:35" x14ac:dyDescent="0.35">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row>
    <row r="1305" spans="1:35" x14ac:dyDescent="0.35">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row>
    <row r="1306" spans="1:35" x14ac:dyDescent="0.35">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row>
    <row r="1307" spans="1:35" x14ac:dyDescent="0.35">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row>
    <row r="1308" spans="1:35" x14ac:dyDescent="0.35">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row>
    <row r="1309" spans="1:35" x14ac:dyDescent="0.35">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row>
    <row r="1310" spans="1:35" x14ac:dyDescent="0.35">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row>
    <row r="1311" spans="1:35" x14ac:dyDescent="0.35">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row>
    <row r="1312" spans="1:35" x14ac:dyDescent="0.35">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row>
    <row r="1313" spans="1:35" x14ac:dyDescent="0.35">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row>
    <row r="1314" spans="1:35" x14ac:dyDescent="0.35">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row>
    <row r="1315" spans="1:35" x14ac:dyDescent="0.35">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row>
    <row r="1316" spans="1:35" x14ac:dyDescent="0.35">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row>
    <row r="1317" spans="1:35" x14ac:dyDescent="0.35">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row>
    <row r="1318" spans="1:35" x14ac:dyDescent="0.35">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row>
    <row r="1319" spans="1:35" x14ac:dyDescent="0.35">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row>
    <row r="1320" spans="1:35" x14ac:dyDescent="0.35">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row>
    <row r="1321" spans="1:35" x14ac:dyDescent="0.35">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row>
    <row r="1322" spans="1:35" x14ac:dyDescent="0.35">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row>
    <row r="1323" spans="1:35" x14ac:dyDescent="0.35">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row>
    <row r="1324" spans="1:35" x14ac:dyDescent="0.35">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row>
    <row r="1325" spans="1:35" x14ac:dyDescent="0.35">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row>
    <row r="1326" spans="1:35" x14ac:dyDescent="0.35">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row>
    <row r="1327" spans="1:35" x14ac:dyDescent="0.35">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row>
    <row r="1328" spans="1:35" x14ac:dyDescent="0.35">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row>
    <row r="1329" spans="1:35" x14ac:dyDescent="0.35">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row>
    <row r="1330" spans="1:35" x14ac:dyDescent="0.35">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row>
    <row r="1331" spans="1:35" x14ac:dyDescent="0.35">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row>
    <row r="1332" spans="1:35" x14ac:dyDescent="0.35">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row>
    <row r="1333" spans="1:35" x14ac:dyDescent="0.35">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row>
    <row r="1334" spans="1:35" x14ac:dyDescent="0.35">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row>
    <row r="1335" spans="1:35" x14ac:dyDescent="0.35">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row>
    <row r="1336" spans="1:35" x14ac:dyDescent="0.35">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row>
    <row r="1337" spans="1:35" x14ac:dyDescent="0.35">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row>
    <row r="1338" spans="1:35" x14ac:dyDescent="0.35">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row>
    <row r="1339" spans="1:35" x14ac:dyDescent="0.35">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row>
    <row r="1340" spans="1:35" x14ac:dyDescent="0.35">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row>
    <row r="1341" spans="1:35" x14ac:dyDescent="0.35">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row>
    <row r="1342" spans="1:35" x14ac:dyDescent="0.35">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row>
    <row r="1343" spans="1:35" x14ac:dyDescent="0.35">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row>
    <row r="1344" spans="1:35" x14ac:dyDescent="0.35">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row>
    <row r="1345" spans="1:35" x14ac:dyDescent="0.35">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row>
    <row r="1346" spans="1:35" x14ac:dyDescent="0.35">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row>
    <row r="1347" spans="1:35" x14ac:dyDescent="0.35">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row>
    <row r="1348" spans="1:35" x14ac:dyDescent="0.35">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row>
    <row r="1349" spans="1:35" x14ac:dyDescent="0.35">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row>
    <row r="1350" spans="1:35" x14ac:dyDescent="0.35">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row>
    <row r="1351" spans="1:35" x14ac:dyDescent="0.35">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row>
    <row r="1352" spans="1:35" x14ac:dyDescent="0.35">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row>
    <row r="1353" spans="1:35" x14ac:dyDescent="0.35">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row>
    <row r="1354" spans="1:35" x14ac:dyDescent="0.35">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row>
    <row r="1355" spans="1:35" x14ac:dyDescent="0.35">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row>
    <row r="1356" spans="1:35" x14ac:dyDescent="0.35">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row>
    <row r="1357" spans="1:35" x14ac:dyDescent="0.35">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row>
    <row r="1358" spans="1:35" x14ac:dyDescent="0.35">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row>
    <row r="1359" spans="1:35" x14ac:dyDescent="0.35">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row>
    <row r="1360" spans="1:35" x14ac:dyDescent="0.35">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row>
    <row r="1361" spans="1:35" x14ac:dyDescent="0.35">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row>
    <row r="1362" spans="1:35" x14ac:dyDescent="0.35">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row>
    <row r="1363" spans="1:35" x14ac:dyDescent="0.35">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row>
    <row r="1364" spans="1:35" x14ac:dyDescent="0.35">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row>
    <row r="1365" spans="1:35" x14ac:dyDescent="0.35">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row>
    <row r="1366" spans="1:35" x14ac:dyDescent="0.35">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row>
    <row r="1367" spans="1:35" x14ac:dyDescent="0.35">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row>
    <row r="1368" spans="1:35" x14ac:dyDescent="0.35">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row>
    <row r="1369" spans="1:35" x14ac:dyDescent="0.35">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row>
    <row r="1370" spans="1:35" x14ac:dyDescent="0.35">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row>
    <row r="1371" spans="1:35" x14ac:dyDescent="0.35">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row>
    <row r="1372" spans="1:35" x14ac:dyDescent="0.35">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row>
    <row r="1373" spans="1:35" x14ac:dyDescent="0.35">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row>
    <row r="1374" spans="1:35" x14ac:dyDescent="0.35">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row>
    <row r="1375" spans="1:35" x14ac:dyDescent="0.35">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row>
    <row r="1376" spans="1:35" x14ac:dyDescent="0.35">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row>
    <row r="1377" spans="1:35" x14ac:dyDescent="0.35">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row>
    <row r="1378" spans="1:35" x14ac:dyDescent="0.35">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row>
    <row r="1379" spans="1:35" x14ac:dyDescent="0.35">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row>
    <row r="1380" spans="1:35" x14ac:dyDescent="0.35">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row>
    <row r="1381" spans="1:35" x14ac:dyDescent="0.35">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row>
    <row r="1382" spans="1:35" x14ac:dyDescent="0.35">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row>
    <row r="1383" spans="1:35" x14ac:dyDescent="0.35">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row>
    <row r="1384" spans="1:35" x14ac:dyDescent="0.35">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row>
    <row r="1385" spans="1:35" x14ac:dyDescent="0.35">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row>
    <row r="1386" spans="1:35" x14ac:dyDescent="0.35">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row>
    <row r="1387" spans="1:35" x14ac:dyDescent="0.35">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row>
    <row r="1388" spans="1:35" x14ac:dyDescent="0.35">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row>
    <row r="1389" spans="1:35" x14ac:dyDescent="0.35">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row>
    <row r="1390" spans="1:35" x14ac:dyDescent="0.35">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row>
    <row r="1391" spans="1:35" x14ac:dyDescent="0.35">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row>
    <row r="1392" spans="1:35" x14ac:dyDescent="0.35">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row>
    <row r="1393" spans="1:35" x14ac:dyDescent="0.35">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row>
    <row r="1394" spans="1:35" x14ac:dyDescent="0.35">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row>
    <row r="1395" spans="1:35" x14ac:dyDescent="0.35">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row>
    <row r="1396" spans="1:35" x14ac:dyDescent="0.35">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row>
    <row r="1397" spans="1:35" x14ac:dyDescent="0.35">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row>
    <row r="1398" spans="1:35" x14ac:dyDescent="0.35">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row>
    <row r="1399" spans="1:35" x14ac:dyDescent="0.35">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row>
    <row r="1400" spans="1:35" x14ac:dyDescent="0.35">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row>
    <row r="1401" spans="1:35" x14ac:dyDescent="0.35">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row>
    <row r="1402" spans="1:35" x14ac:dyDescent="0.35">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row>
    <row r="1403" spans="1:35" x14ac:dyDescent="0.35">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row>
    <row r="1404" spans="1:35" x14ac:dyDescent="0.35">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row>
    <row r="1405" spans="1:35" x14ac:dyDescent="0.35">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row>
    <row r="1406" spans="1:35" x14ac:dyDescent="0.35">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row>
    <row r="1407" spans="1:35" x14ac:dyDescent="0.35">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row>
    <row r="1408" spans="1:35" x14ac:dyDescent="0.35">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row>
    <row r="1409" spans="1:35" x14ac:dyDescent="0.35">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row>
    <row r="1410" spans="1:35" x14ac:dyDescent="0.35">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row>
    <row r="1411" spans="1:35" x14ac:dyDescent="0.35">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row>
    <row r="1412" spans="1:35" x14ac:dyDescent="0.35">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row>
    <row r="1413" spans="1:35" x14ac:dyDescent="0.35">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row>
    <row r="1414" spans="1:35" x14ac:dyDescent="0.35">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row>
    <row r="1415" spans="1:35" x14ac:dyDescent="0.35">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row>
    <row r="1416" spans="1:35" x14ac:dyDescent="0.35">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row>
    <row r="1417" spans="1:35" x14ac:dyDescent="0.35">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row>
    <row r="1418" spans="1:35" x14ac:dyDescent="0.35">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row>
    <row r="1419" spans="1:35" x14ac:dyDescent="0.35">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row>
    <row r="1420" spans="1:35" x14ac:dyDescent="0.35">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row>
    <row r="1421" spans="1:35" x14ac:dyDescent="0.35">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row>
    <row r="1422" spans="1:35" x14ac:dyDescent="0.35">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row>
    <row r="1423" spans="1:35" x14ac:dyDescent="0.35">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row>
    <row r="1424" spans="1:35" x14ac:dyDescent="0.35">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row>
    <row r="1425" spans="1:35" x14ac:dyDescent="0.35">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row>
    <row r="1426" spans="1:35" x14ac:dyDescent="0.35">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row>
    <row r="1427" spans="1:35" x14ac:dyDescent="0.35">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row>
    <row r="1428" spans="1:35" x14ac:dyDescent="0.35">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row>
    <row r="1429" spans="1:35" x14ac:dyDescent="0.35">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row>
    <row r="1430" spans="1:35" x14ac:dyDescent="0.35">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row>
    <row r="1431" spans="1:35" x14ac:dyDescent="0.35">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row>
    <row r="1432" spans="1:35" x14ac:dyDescent="0.35">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row>
    <row r="1433" spans="1:35" x14ac:dyDescent="0.35">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row>
    <row r="1434" spans="1:35" x14ac:dyDescent="0.35">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row>
    <row r="1435" spans="1:35" x14ac:dyDescent="0.35">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row>
    <row r="1436" spans="1:35" x14ac:dyDescent="0.35">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row>
    <row r="1437" spans="1:35" x14ac:dyDescent="0.35">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row>
    <row r="1438" spans="1:35" x14ac:dyDescent="0.35">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row>
    <row r="1439" spans="1:35" x14ac:dyDescent="0.35">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row>
    <row r="1440" spans="1:35" x14ac:dyDescent="0.35">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row>
    <row r="1441" spans="1:35" x14ac:dyDescent="0.35">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row>
    <row r="1442" spans="1:35" x14ac:dyDescent="0.35">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row>
    <row r="1443" spans="1:35" x14ac:dyDescent="0.35">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row>
    <row r="1444" spans="1:35" x14ac:dyDescent="0.35">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row>
    <row r="1445" spans="1:35" x14ac:dyDescent="0.35">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row>
    <row r="1446" spans="1:35" x14ac:dyDescent="0.35">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row>
    <row r="1447" spans="1:35" x14ac:dyDescent="0.35">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row>
    <row r="1448" spans="1:35" x14ac:dyDescent="0.35">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row>
    <row r="1449" spans="1:35" x14ac:dyDescent="0.35">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row>
    <row r="1450" spans="1:35" x14ac:dyDescent="0.35">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row>
    <row r="1451" spans="1:35" x14ac:dyDescent="0.35">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row>
    <row r="1452" spans="1:35" x14ac:dyDescent="0.35">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row>
    <row r="1453" spans="1:35" x14ac:dyDescent="0.35">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row>
    <row r="1454" spans="1:35" x14ac:dyDescent="0.35">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row>
    <row r="1455" spans="1:35" x14ac:dyDescent="0.35">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row>
    <row r="1456" spans="1:35" x14ac:dyDescent="0.35">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row>
    <row r="1457" spans="1:35" x14ac:dyDescent="0.35">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row>
    <row r="1458" spans="1:35" x14ac:dyDescent="0.35">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row>
    <row r="1459" spans="1:35" x14ac:dyDescent="0.35">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row>
    <row r="1460" spans="1:35" x14ac:dyDescent="0.35">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row>
    <row r="1461" spans="1:35" x14ac:dyDescent="0.35">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row>
    <row r="1462" spans="1:35" x14ac:dyDescent="0.35">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row>
    <row r="1463" spans="1:35" x14ac:dyDescent="0.35">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row>
    <row r="1464" spans="1:35" x14ac:dyDescent="0.35">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row>
    <row r="1465" spans="1:35" x14ac:dyDescent="0.35">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row>
    <row r="1466" spans="1:35" x14ac:dyDescent="0.35">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row>
    <row r="1467" spans="1:35" x14ac:dyDescent="0.35">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row>
    <row r="1468" spans="1:35" x14ac:dyDescent="0.35">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row>
    <row r="1469" spans="1:35" x14ac:dyDescent="0.35">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row>
    <row r="1470" spans="1:35" x14ac:dyDescent="0.35">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row>
    <row r="1471" spans="1:35" x14ac:dyDescent="0.35">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WA_Fn-UseC_-HR-Employee-Attriti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adesewa oladapo</cp:lastModifiedBy>
  <dcterms:created xsi:type="dcterms:W3CDTF">2026-09-23T18:02:44Z</dcterms:created>
  <dcterms:modified xsi:type="dcterms:W3CDTF">2026-09-25T19:43:17Z</dcterms:modified>
</cp:coreProperties>
</file>